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1.xml" ContentType="application/vnd.ms-excel.threadedcomments+xml"/>
  <Override PartName="/xl/comments5.xml" ContentType="application/vnd.openxmlformats-officedocument.spreadsheetml.comment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d.docs.live.net/21ecf0485f30a072/Desktop/Equity Portfolio buildout/MSFT/Excel workbook/"/>
    </mc:Choice>
  </mc:AlternateContent>
  <xr:revisionPtr revIDLastSave="6068" documentId="14_{1EFB3F33-9011-4624-83B5-2E5B8685BF01}" xr6:coauthVersionLast="47" xr6:coauthVersionMax="47" xr10:uidLastSave="{CA7F325E-AF45-489F-B9AC-81027B9C6825}"/>
  <bookViews>
    <workbookView xWindow="-110" yWindow="-110" windowWidth="19420" windowHeight="10300" firstSheet="0" activeTab="0" xr2:uid="{00000000-000D-0000-FFFF-FFFF00000000}"/>
  </bookViews>
  <sheets>
    <sheet name="Cover" sheetId="56" r:id="rId1"/>
    <sheet name="Dashboard" sheetId="34" r:id="rId2"/>
    <sheet name="Fin Statement" sheetId="25" r:id="rId3"/>
    <sheet name="Common Size&amp;Ratio" sheetId="26" r:id="rId4"/>
    <sheet name="Trend Analysis" sheetId="29" r:id="rId5"/>
    <sheet name="Assumptions" sheetId="30" r:id="rId6"/>
    <sheet name="3 statement Model" sheetId="31" r:id="rId7"/>
    <sheet name="DCF" sheetId="32" r:id="rId8"/>
    <sheet name="Valuation Sensitivities" sheetId="33" r:id="rId9"/>
    <sheet name="Trading Comps" sheetId="36" r:id="rId10"/>
    <sheet name="WACC" sheetId="27" r:id="rId11"/>
    <sheet name="Beta" sheetId="28" r:id="rId12"/>
    <sheet name="Sources &amp; Definitions" sheetId="57" r:id="rId13"/>
  </sheets>
  <definedNames>
    <definedName name="_xlnm.Print_Area" localSheetId="0">Cover!$A$1:$H$51</definedName>
    <definedName name="_xlnm.Print_Area" localSheetId="1">Dashboard!$A$1:$N$78</definedName>
    <definedName name="_xlnm.Print_Area" localSheetId="12">'Sources &amp; Definitions'!$A$1:$F$49</definedName>
    <definedName name="_xlnm.Print_Area" localSheetId="9">'Trading Comps'!$A$1:$T$107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Eden Kabanga</author>
  </authors>
  <commentList>
    <comment ref="L90" authorId="0" shapeId="0" xr:uid="{C9B53171-A30C-4494-ABFB-854BE6F5D579}">
      <text>
        <r>
          <rPr>
            <b/>
            <sz val="9"/>
            <color indexed="81"/>
            <rFont val="Tahoma"/>
            <family val="2"/>
          </rPr>
          <t>Eden Kabanga:</t>
        </r>
        <r>
          <rPr>
            <sz val="9"/>
            <color indexed="81"/>
            <rFont val="Tahoma"/>
            <family val="2"/>
          </rPr>
          <t xml:space="preserve">
Source: Microsoft FY2026 Form 10-K lease footnote | Ref: weighted-average finance lease discount rate | As-of: 2026-06-30</t>
        </r>
      </text>
    </comment>
    <comment ref="L91" authorId="0" shapeId="0" xr:uid="{B2372450-D66E-4745-BD84-084504799E3D}">
      <text>
        <r>
          <rPr>
            <b/>
            <sz val="9"/>
            <color indexed="81"/>
            <rFont val="Tahoma"/>
            <family val="2"/>
          </rPr>
          <t>Eden Kabanga:</t>
        </r>
        <r>
          <rPr>
            <sz val="9"/>
            <color indexed="81"/>
            <rFont val="Tahoma"/>
            <family val="2"/>
          </rPr>
          <t xml:space="preserve">
Source: Microsoft FY2026 Form 10-K lease footnote | Ref: weighted-average operating lease discount rate | As-of: 2026-06-30</t>
        </r>
      </text>
    </comment>
    <comment ref="L92" authorId="0" shapeId="0" xr:uid="{33B967A4-ADEF-48B4-94CB-81BBCCDC9EC7}">
      <text>
        <r>
          <rPr>
            <b/>
            <sz val="9"/>
            <color indexed="81"/>
            <rFont val="Tahoma"/>
            <family val="2"/>
          </rPr>
          <t>Source: Microsoft FY2026 Form 10-K lease disclosure | Operating lease cost: $6,968m | Denominator: average FY2025-FY2026 operating ROU asset.</t>
        </r>
      </text>
    </comment>
    <comment ref="L93" authorId="0" shapeId="0" xr:uid="{B602E094-50CE-4DF8-80F3-8C7A3989DAE3}">
      <text>
        <r>
          <rPr>
            <b/>
            <sz val="9"/>
            <color indexed="81"/>
            <rFont val="Tahoma"/>
            <family val="2"/>
          </rPr>
          <t>Source: Microsoft FY2026 Form 10-K lease disclosure | Operating lease cash paid: $6,443m | Operating lease cost: $6,968m.</t>
        </r>
      </text>
    </comment>
    <comment ref="L94" authorId="0" shapeId="0" xr:uid="{C2A82C5A-4D58-4AD8-BC53-A3ADB5F1302B}">
      <text>
        <r>
          <rPr>
            <b/>
            <sz val="9"/>
            <color indexed="81"/>
            <rFont val="Tahoma"/>
            <family val="2"/>
          </rPr>
          <t>Eden Kabanga:</t>
        </r>
        <r>
          <rPr>
            <sz val="9"/>
            <color indexed="81"/>
            <rFont val="Tahoma"/>
            <family val="2"/>
          </rPr>
          <t xml:space="preserve">
Source: Microsoft FY2026 Form 10-K lease footnote | Current operating lease liability | USD millions</t>
        </r>
      </text>
    </comment>
    <comment ref="L95" authorId="0" shapeId="0" xr:uid="{4FEC3722-766D-427F-8723-71FF3BE6AF35}">
      <text>
        <r>
          <rPr>
            <b/>
            <sz val="9"/>
            <color indexed="81"/>
            <rFont val="Tahoma"/>
            <family val="2"/>
          </rPr>
          <t>Eden Kabanga:</t>
        </r>
        <r>
          <rPr>
            <sz val="9"/>
            <color indexed="81"/>
            <rFont val="Tahoma"/>
            <family val="2"/>
          </rPr>
          <t xml:space="preserve">
Source: Microsoft FY2026 Form 10-K lease footnote | Current finance lease liability | USD millions</t>
        </r>
      </text>
    </comment>
    <comment ref="L96" authorId="0" shapeId="0" xr:uid="{D156C9BA-64A6-447F-87B8-2B43CC80F47E}">
      <text>
        <r>
          <rPr>
            <b/>
            <sz val="9"/>
            <color indexed="81"/>
            <rFont val="Tahoma"/>
            <family val="2"/>
          </rPr>
          <t>Eden Kabanga:</t>
        </r>
        <r>
          <rPr>
            <sz val="9"/>
            <color indexed="81"/>
            <rFont val="Tahoma"/>
            <family val="2"/>
          </rPr>
          <t xml:space="preserve">
Source: Microsoft FY2026 Form 10-K lease footnote | Long-term finance lease liability | USD millions</t>
        </r>
      </text>
    </comment>
    <comment ref="L97" authorId="0" shapeId="0" xr:uid="{7367A8B2-3131-4C80-A90C-868A341176FF}">
      <text>
        <r>
          <rPr>
            <b/>
            <sz val="9"/>
            <color indexed="81"/>
            <rFont val="Tahoma"/>
            <family val="2"/>
          </rPr>
          <t>Eden Kabanga:</t>
        </r>
        <r>
          <rPr>
            <sz val="9"/>
            <color indexed="81"/>
            <rFont val="Tahoma"/>
            <family val="2"/>
          </rPr>
          <t xml:space="preserve">
Assumption: clean debt-rate input used to avoid dividing total reported interest, including finance-lease interest, by conventional debt only.</t>
        </r>
      </text>
    </comment>
    <comment ref="H117" authorId="0" shapeId="0" xr:uid="{1269AC9A-E317-498F-A8EB-E922C3B15F91}">
      <text>
        <r>
          <rPr>
            <b/>
            <sz val="9"/>
            <color indexed="81"/>
            <rFont val="Tahoma"/>
            <family val="2"/>
          </rPr>
          <t>Eden Kabanga:</t>
        </r>
        <r>
          <rPr>
            <sz val="9"/>
            <color indexed="81"/>
            <rFont val="Tahoma"/>
            <family val="2"/>
          </rPr>
          <t xml:space="preserve">
Assumption: Five-year fade from FY2031 forecast economics to a stable terminal state.</t>
        </r>
      </text>
    </comment>
    <comment ref="H119" authorId="0" shapeId="0" xr:uid="{648898B2-D8B6-4791-9B8A-955A07E78910}">
      <text>
        <r>
          <rPr>
            <b/>
            <sz val="9"/>
            <color indexed="81"/>
            <rFont val="Tahoma"/>
            <family val="2"/>
          </rPr>
          <t>Eden Kabanga:</t>
        </r>
        <r>
          <rPr>
            <sz val="9"/>
            <color indexed="81"/>
            <rFont val="Tahoma"/>
            <family val="2"/>
          </rPr>
          <t xml:space="preserve">
Assumption: 75% inclusion pending asset-level fair-value and liquidity review.</t>
        </r>
      </text>
    </comment>
    <comment ref="H120" authorId="0" shapeId="0" xr:uid="{96ADA88C-DD02-44AC-BD6A-80867D5942C9}">
      <text>
        <r>
          <rPr>
            <b/>
            <sz val="9"/>
            <color indexed="81"/>
            <rFont val="Tahoma"/>
            <family val="2"/>
          </rPr>
          <t>Eden Kabanga:</t>
        </r>
        <r>
          <rPr>
            <sz val="9"/>
            <color indexed="81"/>
            <rFont val="Tahoma"/>
            <family val="2"/>
          </rPr>
          <t xml:space="preserve">
Assumption: Cash flows accrue throughout the fiscal year; mid-year discounting enabled.</t>
        </r>
      </text>
    </comment>
    <comment ref="E121" authorId="0" shapeId="0" xr:uid="{D0BCC2D7-2B25-4C0F-AC4E-569262B01B0D}">
      <text>
        <r>
          <rPr>
            <b/>
            <sz val="9"/>
            <color indexed="81"/>
            <rFont val="Tahoma"/>
            <family val="2"/>
          </rPr>
          <t>Eden Kabanga:</t>
        </r>
        <r>
          <rPr>
            <sz val="9"/>
            <color indexed="81"/>
            <rFont val="Tahoma"/>
            <family val="2"/>
          </rPr>
          <t xml:space="preserve">
Assumption: Placeholder operating lease additions; update as datacenter lease commencement evidence improves.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Eden Kabanga</author>
  </authors>
  <commentList>
    <comment ref="J67" authorId="0" shapeId="0" xr:uid="{DBF32DE6-10BB-4967-A68E-C901F1ECF2AA}">
      <text>
        <r>
          <rPr>
            <b/>
            <sz val="9"/>
            <color indexed="81"/>
            <rFont val="Tahoma"/>
            <family val="2"/>
          </rPr>
          <t>Eden Kabanga:</t>
        </r>
        <r>
          <rPr>
            <sz val="9"/>
            <color indexed="81"/>
            <rFont val="Tahoma"/>
            <family val="2"/>
          </rPr>
          <t xml:space="preserve">
FY2027 compares forecast nonlease other current liabilities with the FY2026 nonlease base, preventing lease reclassification from creating a cash-flow movement.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Eden Kabanga</author>
  </authors>
  <commentList>
    <comment ref="B15" authorId="0" shapeId="0" xr:uid="{E5A035F3-57B8-4D58-BA9A-DEBB0239C7CD}">
      <text>
        <r>
          <rPr>
            <b/>
            <sz val="9"/>
            <color indexed="81"/>
            <rFont val="Tahoma"/>
            <family val="2"/>
          </rPr>
          <t>Eden Kabanga:</t>
        </r>
        <r>
          <rPr>
            <sz val="9"/>
            <color indexed="81"/>
            <rFont val="Tahoma"/>
            <family val="2"/>
          </rPr>
          <t xml:space="preserve">
UFCF = EBIT x (1 - t) + D&amp;A - cash CapEx - change in operating working capital.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tc={F1FC5FF1-863E-4161-8C44-EAD247678EEE}</author>
    <author>tc={15D15EB4-52C6-4EB5-9825-2F305C409915}</author>
    <author>tc={2ADF43C0-26A0-47F2-A43C-BF525C33A837}</author>
    <author>tc={5F07E91C-637C-4529-823E-D816128676D1}</author>
    <author>tc={3783D415-5D1B-4CEC-B101-B8276475221A}</author>
    <author>tc={AB166DEA-5248-4FB0-AF16-7E25EDF6F18F}</author>
    <author>tc={5B149F2D-720A-448E-8FC2-29CDF0259A4D}</author>
    <author>tc={11CFD00B-68D3-4A1C-ADF0-FF43DBBF8709}</author>
    <author>tc={606FE74E-7669-44BC-A24B-B0079D75FFE1}</author>
    <author>tc={363BEA9E-C50B-4C1C-BE76-9C48D39E6459}</author>
    <author>tc={50AFAF7E-0C67-4C04-A590-755B2FC1FF39}</author>
    <author>tc={06BAD3F6-DAAF-43F6-B2DF-68F8CD67A1A7}</author>
    <author>tc={08FEA8A7-4804-4552-B8FD-47643DE57E6B}</author>
    <author>tc={E7E3C610-DAE1-460C-A6A8-98FCB587593B}</author>
    <author>tc={399BBDA1-8AD5-49DA-87BE-C07302564AF5}</author>
    <author>tc={1ACB4E8C-B79A-4F62-98A9-B6C81160D1F2}</author>
    <author>tc={00CB60F7-3337-4513-AEBB-7BE8F331B764}</author>
    <author>tc={DD08C17E-94BE-4177-8872-5E86E589200A}</author>
    <author>tc={86B7981D-688A-4D05-9520-FD7A119AB920}</author>
    <author>tc={1A1E75B6-4071-47F7-A8C2-C2EF698FD736}</author>
    <author>tc={AA429070-435B-461B-818B-4657E032CC0A}</author>
    <author>tc={5E25B9D2-1711-4908-97E0-5853CEEE026F}</author>
    <author>tc={3717B84C-7337-423C-B69B-BA4A757CF51B}</author>
    <author>tc={29A9D28D-3A5F-4A27-94C0-203ADBF415A3}</author>
    <author>tc={69AFEA9A-9ED7-42C3-B869-0CF3FEDA3908}</author>
    <author>tc={25FBDDC6-95FC-4671-A616-39F962AF115E}</author>
    <author>tc={9C9842A3-1231-4956-8523-D8BB8CFF9A1D}</author>
    <author>tc={255A7380-3430-4F6D-BF47-5EAE712504D5}</author>
    <author>tc={EEF2701C-610B-484B-B548-37306352E6D6}</author>
    <author>tc={38CE79E6-E51F-4899-A056-354A0CFD36AE}</author>
    <author>tc={ADDCBD62-9885-4BD3-A333-EA15C609EED0}</author>
    <author>tc={D2763A06-91DD-4E84-9D68-D80D177673D4}</author>
    <author>tc={7A2150E2-A384-4071-BB57-E483FAEEC200}</author>
    <author>tc={4E24A5C1-1907-4F99-993E-D9B78C0DEBCD}</author>
    <author>tc={06304B23-AFFF-422F-A5C2-F8BE51D5A1B0}</author>
    <author>tc={2F45F4E9-C06F-486F-AD68-779DE580B2DE}</author>
    <author>tc={03680FAA-B60D-4447-9730-E78C5940E9F2}</author>
    <author>tc={B761475E-3D69-421A-A56A-99037E52A021}</author>
    <author>tc={A1659AE7-4BB2-45ED-BDDA-36A143DE84D0}</author>
    <author>tc={6BE0DEE3-C32B-438E-BE49-26B680E0B980}</author>
  </authors>
  <commentList>
    <comment ref="D5" authorId="0" shapeId="0" xr:uid="{F1FC5FF1-863E-4161-8C44-EAD247678EEE}">
      <text>
        <t>[Threaded comment]
Your version of Excel allows you to read this threaded comment; however, any edits to it will get removed if the file is opened in a newer version of Excel. Learn more: https://go.microsoft.com/fwlink/?linkid=870924
Comment:
    Microsoft FY2026 values from the integrated workbook and Microsoft FY2026 Form 10-K. Market capitalization dated 27-Oct-2026.</t>
      </text>
    </comment>
    <comment ref="E5" authorId="1" shapeId="0" xr:uid="{15D15EB4-52C6-4EB5-9825-2F305C409915}">
      <text>
        <t>[Threaded comment]
Your version of Excel allows you to read this threaded comment; however, any edits to it will get removed if the file is opened in a newer version of Excel. Learn more: https://go.microsoft.com/fwlink/?linkid=870924
Comment:
    Microsoft FY2026 values from the integrated workbook and Microsoft FY2026 Form 10-K. Market capitalization dated 27-Oct-2026.</t>
      </text>
    </comment>
    <comment ref="G5" authorId="2" shapeId="0" xr:uid="{2ADF43C0-26A0-47F2-A43C-BF525C33A837}">
      <text>
        <t>[Threaded comment]
Your version of Excel allows you to read this threaded comment; however, any edits to it will get removed if the file is opened in a newer version of Excel. Learn more: https://go.microsoft.com/fwlink/?linkid=870924
Comment:
    Microsoft FY2026 values from the integrated workbook and Microsoft FY2026 Form 10-K. Market capitalization dated 27-Oct-2026.</t>
      </text>
    </comment>
    <comment ref="H5" authorId="3" shapeId="0" xr:uid="{5F07E91C-637C-4529-823E-D816128676D1}">
      <text>
        <t>[Threaded comment]
Your version of Excel allows you to read this threaded comment; however, any edits to it will get removed if the file is opened in a newer version of Excel. Learn more: https://go.microsoft.com/fwlink/?linkid=870924
Comment:
    Microsoft FY2026 values from the integrated workbook and Microsoft FY2026 Form 10-K. Market capitalization dated 27-Oct-2026.</t>
      </text>
    </comment>
    <comment ref="I5" authorId="4" shapeId="0" xr:uid="{3783D415-5D1B-4CEC-B101-B8276475221A}">
      <text>
        <t>[Threaded comment]
Your version of Excel allows you to read this threaded comment; however, any edits to it will get removed if the file is opened in a newer version of Excel. Learn more: https://go.microsoft.com/fwlink/?linkid=870924
Comment:
    Microsoft FY2026 values from the integrated workbook and Microsoft FY2026 Form 10-K. Market capitalization dated 27-Oct-2026.</t>
      </text>
    </comment>
    <comment ref="K5" authorId="5" shapeId="0" xr:uid="{AB166DEA-5248-4FB0-AF16-7E25EDF6F18F}">
      <text>
        <t>[Threaded comment]
Your version of Excel allows you to read this threaded comment; however, any edits to it will get removed if the file is opened in a newer version of Excel. Learn more: https://go.microsoft.com/fwlink/?linkid=870924
Comment:
    Microsoft FY2026 values from the integrated workbook and Microsoft FY2026 Form 10-K. Market capitalization dated 27-Oct-2026.</t>
      </text>
    </comment>
    <comment ref="L5" authorId="6" shapeId="0" xr:uid="{5B149F2D-720A-448E-8FC2-29CDF0259A4D}">
      <text>
        <t>[Threaded comment]
Your version of Excel allows you to read this threaded comment; however, any edits to it will get removed if the file is opened in a newer version of Excel. Learn more: https://go.microsoft.com/fwlink/?linkid=870924
Comment:
    Microsoft FY2026 values from the integrated workbook and Microsoft FY2026 Form 10-K. Market capitalization dated 27-Oct-2026.</t>
      </text>
    </comment>
    <comment ref="M5" authorId="7" shapeId="0" xr:uid="{11CFD00B-68D3-4A1C-ADF0-FF43DBBF8709}">
      <text>
        <t>[Threaded comment]
Your version of Excel allows you to read this threaded comment; however, any edits to it will get removed if the file is opened in a newer version of Excel. Learn more: https://go.microsoft.com/fwlink/?linkid=870924
Comment:
    Microsoft FY2026 values from the integrated workbook and Microsoft FY2026 Form 10-K. Market capitalization dated 27-Oct-2026.</t>
      </text>
    </comment>
    <comment ref="D6" authorId="8" shapeId="0" xr:uid="{606FE74E-7669-44BC-A24B-B0079D75FFE1}">
      <text>
        <t>[Threaded comment]
Your version of Excel allows you to read this threaded comment; however, any edits to it will get removed if the file is opened in a newer version of Excel. Learn more: https://go.microsoft.com/fwlink/?linkid=870924
Comment:
    Alphabet FY2025 Form 10-K. Market capitalization dated 27-Oct-2026.</t>
      </text>
    </comment>
    <comment ref="E6" authorId="9" shapeId="0" xr:uid="{363BEA9E-C50B-4C1C-BE76-9C48D39E6459}">
      <text>
        <t>[Threaded comment]
Your version of Excel allows you to read this threaded comment; however, any edits to it will get removed if the file is opened in a newer version of Excel. Learn more: https://go.microsoft.com/fwlink/?linkid=870924
Comment:
    Alphabet FY2025 Form 10-K. Market capitalization dated 27-Oct-2026.</t>
      </text>
    </comment>
    <comment ref="G6" authorId="10" shapeId="0" xr:uid="{50AFAF7E-0C67-4C04-A590-755B2FC1FF39}">
      <text>
        <t>[Threaded comment]
Your version of Excel allows you to read this threaded comment; however, any edits to it will get removed if the file is opened in a newer version of Excel. Learn more: https://go.microsoft.com/fwlink/?linkid=870924
Comment:
    Alphabet FY2025 Form 10-K. Market capitalization dated 27-Oct-2026.</t>
      </text>
    </comment>
    <comment ref="H6" authorId="11" shapeId="0" xr:uid="{06BAD3F6-DAAF-43F6-B2DF-68F8CD67A1A7}">
      <text>
        <t>[Threaded comment]
Your version of Excel allows you to read this threaded comment; however, any edits to it will get removed if the file is opened in a newer version of Excel. Learn more: https://go.microsoft.com/fwlink/?linkid=870924
Comment:
    Alphabet FY2025 Form 10-K. Market capitalization dated 27-Oct-2026.</t>
      </text>
    </comment>
    <comment ref="I6" authorId="12" shapeId="0" xr:uid="{08FEA8A7-4804-4552-B8FD-47643DE57E6B}">
      <text>
        <t>[Threaded comment]
Your version of Excel allows you to read this threaded comment; however, any edits to it will get removed if the file is opened in a newer version of Excel. Learn more: https://go.microsoft.com/fwlink/?linkid=870924
Comment:
    Alphabet FY2025 Form 10-K. Market capitalization dated 27-Oct-2026.</t>
      </text>
    </comment>
    <comment ref="K6" authorId="13" shapeId="0" xr:uid="{E7E3C610-DAE1-460C-A6A8-98FCB587593B}">
      <text>
        <t>[Threaded comment]
Your version of Excel allows you to read this threaded comment; however, any edits to it will get removed if the file is opened in a newer version of Excel. Learn more: https://go.microsoft.com/fwlink/?linkid=870924
Comment:
    Alphabet FY2025 Form 10-K. Market capitalization dated 27-Oct-2026.</t>
      </text>
    </comment>
    <comment ref="L6" authorId="14" shapeId="0" xr:uid="{399BBDA1-8AD5-49DA-87BE-C07302564AF5}">
      <text>
        <t>[Threaded comment]
Your version of Excel allows you to read this threaded comment; however, any edits to it will get removed if the file is opened in a newer version of Excel. Learn more: https://go.microsoft.com/fwlink/?linkid=870924
Comment:
    Alphabet FY2025 Form 10-K. Market capitalization dated 27-Oct-2026.</t>
      </text>
    </comment>
    <comment ref="M6" authorId="15" shapeId="0" xr:uid="{1ACB4E8C-B79A-4F62-98A9-B6C81160D1F2}">
      <text>
        <t>[Threaded comment]
Your version of Excel allows you to read this threaded comment; however, any edits to it will get removed if the file is opened in a newer version of Excel. Learn more: https://go.microsoft.com/fwlink/?linkid=870924
Comment:
    Alphabet FY2025 Form 10-K. Market capitalization dated 27-Oct-2026.</t>
      </text>
    </comment>
    <comment ref="D7" authorId="16" shapeId="0" xr:uid="{00CB60F7-3337-4513-AEBB-7BE8F331B764}">
      <text>
        <t>[Threaded comment]
Your version of Excel allows you to read this threaded comment; however, any edits to it will get removed if the file is opened in a newer version of Excel. Learn more: https://go.microsoft.com/fwlink/?linkid=870924
Comment:
    Amazon FY2025 Form 10-K. Total net debt includes debt-like lease obligations. Market capitalization dated 27-Oct-2026.</t>
      </text>
    </comment>
    <comment ref="E7" authorId="17" shapeId="0" xr:uid="{DD08C17E-94BE-4177-8872-5E86E589200A}">
      <text>
        <t>[Threaded comment]
Your version of Excel allows you to read this threaded comment; however, any edits to it will get removed if the file is opened in a newer version of Excel. Learn more: https://go.microsoft.com/fwlink/?linkid=870924
Comment:
    Amazon FY2025 Form 10-K. Total net debt includes debt-like lease obligations. Market capitalization dated 27-Oct-2026.</t>
      </text>
    </comment>
    <comment ref="G7" authorId="18" shapeId="0" xr:uid="{86B7981D-688A-4D05-9520-FD7A119AB920}">
      <text>
        <t>[Threaded comment]
Your version of Excel allows you to read this threaded comment; however, any edits to it will get removed if the file is opened in a newer version of Excel. Learn more: https://go.microsoft.com/fwlink/?linkid=870924
Comment:
    Amazon FY2025 Form 10-K. Total net debt includes debt-like lease obligations. Market capitalization dated 27-Oct-2026.</t>
      </text>
    </comment>
    <comment ref="H7" authorId="19" shapeId="0" xr:uid="{1A1E75B6-4071-47F7-A8C2-C2EF698FD736}">
      <text>
        <t>[Threaded comment]
Your version of Excel allows you to read this threaded comment; however, any edits to it will get removed if the file is opened in a newer version of Excel. Learn more: https://go.microsoft.com/fwlink/?linkid=870924
Comment:
    Amazon FY2025 Form 10-K. Total net debt includes debt-like lease obligations. Market capitalization dated 27-Oct-2026.</t>
      </text>
    </comment>
    <comment ref="I7" authorId="20" shapeId="0" xr:uid="{AA429070-435B-461B-818B-4657E032CC0A}">
      <text>
        <t>[Threaded comment]
Your version of Excel allows you to read this threaded comment; however, any edits to it will get removed if the file is opened in a newer version of Excel. Learn more: https://go.microsoft.com/fwlink/?linkid=870924
Comment:
    Amazon FY2025 Form 10-K. Total net debt includes debt-like lease obligations. Market capitalization dated 27-Oct-2026.</t>
      </text>
    </comment>
    <comment ref="K7" authorId="21" shapeId="0" xr:uid="{5E25B9D2-1711-4908-97E0-5853CEEE026F}">
      <text>
        <t>[Threaded comment]
Your version of Excel allows you to read this threaded comment; however, any edits to it will get removed if the file is opened in a newer version of Excel. Learn more: https://go.microsoft.com/fwlink/?linkid=870924
Comment:
    Amazon FY2025 Form 10-K. Total net debt includes debt-like lease obligations. Market capitalization dated 27-Oct-2026.</t>
      </text>
    </comment>
    <comment ref="L7" authorId="22" shapeId="0" xr:uid="{3717B84C-7337-423C-B69B-BA4A757CF51B}">
      <text>
        <t>[Threaded comment]
Your version of Excel allows you to read this threaded comment; however, any edits to it will get removed if the file is opened in a newer version of Excel. Learn more: https://go.microsoft.com/fwlink/?linkid=870924
Comment:
    Amazon FY2025 Form 10-K. Total net debt includes debt-like lease obligations. Market capitalization dated 27-Oct-2026.</t>
      </text>
    </comment>
    <comment ref="M7" authorId="23" shapeId="0" xr:uid="{29A9D28D-3A5F-4A27-94C0-203ADBF415A3}">
      <text>
        <t>[Threaded comment]
Your version of Excel allows you to read this threaded comment; however, any edits to it will get removed if the file is opened in a newer version of Excel. Learn more: https://go.microsoft.com/fwlink/?linkid=870924
Comment:
    Amazon FY2025 Form 10-K. Total net debt includes debt-like lease obligations. Market capitalization dated 27-Oct-2026.</t>
      </text>
    </comment>
    <comment ref="D8" authorId="24" shapeId="0" xr:uid="{69AFEA9A-9ED7-42C3-B869-0CF3FEDA3908}">
      <text>
        <t>[Threaded comment]
Your version of Excel allows you to read this threaded comment; however, any edits to it will get removed if the file is opened in a newer version of Excel. Learn more: https://go.microsoft.com/fwlink/?linkid=870924
Comment:
    Oracle FY2026 Form 10-K and FY2026 results. FCF is negative due to $55.7 billion cash capital expenditures. Market capitalization dated 27-Oct-2026.</t>
      </text>
    </comment>
    <comment ref="E8" authorId="25" shapeId="0" xr:uid="{25FBDDC6-95FC-4671-A616-39F962AF115E}">
      <text>
        <t>[Threaded comment]
Your version of Excel allows you to read this threaded comment; however, any edits to it will get removed if the file is opened in a newer version of Excel. Learn more: https://go.microsoft.com/fwlink/?linkid=870924
Comment:
    Oracle FY2026 Form 10-K and FY2026 results. FCF is negative due to $55.7 billion cash capital expenditures. Market capitalization dated 27-Oct-2026.</t>
      </text>
    </comment>
    <comment ref="G8" authorId="26" shapeId="0" xr:uid="{9C9842A3-1231-4956-8523-D8BB8CFF9A1D}">
      <text>
        <t>[Threaded comment]
Your version of Excel allows you to read this threaded comment; however, any edits to it will get removed if the file is opened in a newer version of Excel. Learn more: https://go.microsoft.com/fwlink/?linkid=870924
Comment:
    Oracle FY2026 Form 10-K and FY2026 results. FCF is negative due to $55.7 billion cash capital expenditures. Market capitalization dated 27-Oct-2026.</t>
      </text>
    </comment>
    <comment ref="H8" authorId="27" shapeId="0" xr:uid="{255A7380-3430-4F6D-BF47-5EAE712504D5}">
      <text>
        <t>[Threaded comment]
Your version of Excel allows you to read this threaded comment; however, any edits to it will get removed if the file is opened in a newer version of Excel. Learn more: https://go.microsoft.com/fwlink/?linkid=870924
Comment:
    Oracle FY2026 Form 10-K and FY2026 results. FCF is negative due to $55.7 billion cash capital expenditures. Market capitalization dated 27-Oct-2026.</t>
      </text>
    </comment>
    <comment ref="I8" authorId="28" shapeId="0" xr:uid="{EEF2701C-610B-484B-B548-37306352E6D6}">
      <text>
        <t>[Threaded comment]
Your version of Excel allows you to read this threaded comment; however, any edits to it will get removed if the file is opened in a newer version of Excel. Learn more: https://go.microsoft.com/fwlink/?linkid=870924
Comment:
    Oracle FY2026 Form 10-K and FY2026 results. FCF is negative due to $55.7 billion cash capital expenditures. Market capitalization dated 27-Oct-2026.</t>
      </text>
    </comment>
    <comment ref="K8" authorId="29" shapeId="0" xr:uid="{38CE79E6-E51F-4899-A056-354A0CFD36AE}">
      <text>
        <t>[Threaded comment]
Your version of Excel allows you to read this threaded comment; however, any edits to it will get removed if the file is opened in a newer version of Excel. Learn more: https://go.microsoft.com/fwlink/?linkid=870924
Comment:
    Oracle FY2026 Form 10-K and FY2026 results. FCF is negative due to $55.7 billion cash capital expenditures. Market capitalization dated 27-Oct-2026.</t>
      </text>
    </comment>
    <comment ref="L8" authorId="30" shapeId="0" xr:uid="{ADDCBD62-9885-4BD3-A333-EA15C609EED0}">
      <text>
        <t>[Threaded comment]
Your version of Excel allows you to read this threaded comment; however, any edits to it will get removed if the file is opened in a newer version of Excel. Learn more: https://go.microsoft.com/fwlink/?linkid=870924
Comment:
    Oracle FY2026 Form 10-K and FY2026 results. FCF is negative due to $55.7 billion cash capital expenditures. Market capitalization dated 27-Oct-2026.</t>
      </text>
    </comment>
    <comment ref="M8" authorId="31" shapeId="0" xr:uid="{D2763A06-91DD-4E84-9D68-D80D177673D4}">
      <text>
        <t>[Threaded comment]
Your version of Excel allows you to read this threaded comment; however, any edits to it will get removed if the file is opened in a newer version of Excel. Learn more: https://go.microsoft.com/fwlink/?linkid=870924
Comment:
    Oracle FY2026 Form 10-K and FY2026 results. FCF is negative due to $55.7 billion cash capital expenditures. Market capitalization dated 27-Oct-2026.</t>
      </text>
    </comment>
    <comment ref="D9" authorId="32" shapeId="0" xr:uid="{7A2150E2-A384-4071-BB57-E483FAEEC200}">
      <text>
        <t>[Threaded comment]
Your version of Excel allows you to read this threaded comment; however, any edits to it will get removed if the file is opened in a newer version of Excel. Learn more: https://go.microsoft.com/fwlink/?linkid=870924
Comment:
    Salesforce FY2026 Form 10-K and FY2026 results. Market capitalization dated 27-Oct-2026.</t>
      </text>
    </comment>
    <comment ref="E9" authorId="33" shapeId="0" xr:uid="{4E24A5C1-1907-4F99-993E-D9B78C0DEBCD}">
      <text>
        <t>[Threaded comment]
Your version of Excel allows you to read this threaded comment; however, any edits to it will get removed if the file is opened in a newer version of Excel. Learn more: https://go.microsoft.com/fwlink/?linkid=870924
Comment:
    Salesforce FY2026 Form 10-K and FY2026 results. Market capitalization dated 27-Oct-2026.</t>
      </text>
    </comment>
    <comment ref="G9" authorId="34" shapeId="0" xr:uid="{06304B23-AFFF-422F-A5C2-F8BE51D5A1B0}">
      <text>
        <t>[Threaded comment]
Your version of Excel allows you to read this threaded comment; however, any edits to it will get removed if the file is opened in a newer version of Excel. Learn more: https://go.microsoft.com/fwlink/?linkid=870924
Comment:
    Salesforce FY2026 Form 10-K and FY2026 results. Market capitalization dated 27-Oct-2026.</t>
      </text>
    </comment>
    <comment ref="H9" authorId="35" shapeId="0" xr:uid="{2F45F4E9-C06F-486F-AD68-779DE580B2DE}">
      <text>
        <t>[Threaded comment]
Your version of Excel allows you to read this threaded comment; however, any edits to it will get removed if the file is opened in a newer version of Excel. Learn more: https://go.microsoft.com/fwlink/?linkid=870924
Comment:
    Salesforce FY2026 Form 10-K and FY2026 results. Market capitalization dated 27-Oct-2026.</t>
      </text>
    </comment>
    <comment ref="I9" authorId="36" shapeId="0" xr:uid="{03680FAA-B60D-4447-9730-E78C5940E9F2}">
      <text>
        <t>[Threaded comment]
Your version of Excel allows you to read this threaded comment; however, any edits to it will get removed if the file is opened in a newer version of Excel. Learn more: https://go.microsoft.com/fwlink/?linkid=870924
Comment:
    Salesforce FY2026 Form 10-K and FY2026 results. Market capitalization dated 27-Oct-2026.</t>
      </text>
    </comment>
    <comment ref="K9" authorId="37" shapeId="0" xr:uid="{B761475E-3D69-421A-A56A-99037E52A021}">
      <text>
        <t>[Threaded comment]
Your version of Excel allows you to read this threaded comment; however, any edits to it will get removed if the file is opened in a newer version of Excel. Learn more: https://go.microsoft.com/fwlink/?linkid=870924
Comment:
    Salesforce FY2026 Form 10-K and FY2026 results. Market capitalization dated 27-Oct-2026.</t>
      </text>
    </comment>
    <comment ref="L9" authorId="38" shapeId="0" xr:uid="{A1659AE7-4BB2-45ED-BDDA-36A143DE84D0}">
      <text>
        <t>[Threaded comment]
Your version of Excel allows you to read this threaded comment; however, any edits to it will get removed if the file is opened in a newer version of Excel. Learn more: https://go.microsoft.com/fwlink/?linkid=870924
Comment:
    Salesforce FY2026 Form 10-K and FY2026 results. Market capitalization dated 27-Oct-2026.</t>
      </text>
    </comment>
    <comment ref="M9" authorId="39" shapeId="0" xr:uid="{6BE0DEE3-C32B-438E-BE49-26B680E0B980}">
      <text>
        <t>[Threaded comment]
Your version of Excel allows you to read this threaded comment; however, any edits to it will get removed if the file is opened in a newer version of Excel. Learn more: https://go.microsoft.com/fwlink/?linkid=870924
Comment:
    Salesforce FY2026 Form 10-K and FY2026 results. Market capitalization dated 27-Oct-2026.</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Eden Kabanga</author>
  </authors>
  <commentList>
    <comment ref="I18" authorId="0" shapeId="0" xr:uid="{0ABBBBB0-CB59-4816-BBD2-339736F1CE79}">
      <text>
        <r>
          <rPr>
            <b/>
            <sz val="9"/>
            <color indexed="81"/>
            <rFont val="Tahoma"/>
            <family val="2"/>
          </rPr>
          <t>Eden Kabanga:</t>
        </r>
        <r>
          <rPr>
            <sz val="9"/>
            <color indexed="81"/>
            <rFont val="Tahoma"/>
            <family val="2"/>
          </rPr>
          <t xml:space="preserve">
Finance lease liabilities are treated as debt-like capital for WACC consistency.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cellMetadata count="1">
    <bk>
      <rc t="1" v="0"/>
    </bk>
  </cellMetadata>
  <valueMetadata count="4">
    <bk>
      <rc t="2" v="0"/>
    </bk>
    <bk>
      <rc t="2" v="1"/>
    </bk>
    <bk>
      <rc t="2" v="2"/>
    </bk>
    <bk>
      <rc t="2" v="3"/>
    </bk>
  </valueMetadata>
</metadata>
</file>

<file path=xl/sharedStrings.xml><?xml version="1.0" encoding="utf-8"?>
<sst xmlns="http://schemas.openxmlformats.org/spreadsheetml/2006/main" count="1747" uniqueCount="1132">
  <si>
    <t>Historical Financial Analysis: MSFT</t>
  </si>
  <si>
    <t>Year Ended June 30</t>
  </si>
  <si>
    <t>Income Statement</t>
  </si>
  <si>
    <t>Historical</t>
  </si>
  <si>
    <t>(In millions, except per share amounts)</t>
  </si>
  <si>
    <t>2026A</t>
  </si>
  <si>
    <t>Revenue:</t>
  </si>
  <si>
    <t>Product</t>
  </si>
  <si>
    <t>Service and other</t>
  </si>
  <si>
    <t>Total revenue</t>
  </si>
  <si>
    <t>COGS</t>
  </si>
  <si>
    <t>Total cost of revenue</t>
  </si>
  <si>
    <t>Gross margin</t>
  </si>
  <si>
    <t>Research and development</t>
  </si>
  <si>
    <t>Sales and marketing</t>
  </si>
  <si>
    <t>General and administrative</t>
  </si>
  <si>
    <t>EBITDA</t>
  </si>
  <si>
    <t>Depreciation, Amortization, and other</t>
  </si>
  <si>
    <t>Operating income/EBIT</t>
  </si>
  <si>
    <t>Interest and dividends income</t>
  </si>
  <si>
    <t>Interest expense</t>
  </si>
  <si>
    <t>Other non-operating items</t>
  </si>
  <si>
    <t>Other income (expense), net</t>
  </si>
  <si>
    <t>EBT</t>
  </si>
  <si>
    <t>Provision for income taxes/ Taxes</t>
  </si>
  <si>
    <t>Net income</t>
  </si>
  <si>
    <t>Reported Segment Results</t>
  </si>
  <si>
    <t>(In millions, except growth)</t>
  </si>
  <si>
    <t>SEGMENT REVENUE</t>
  </si>
  <si>
    <t>Productivity and Business Processes</t>
  </si>
  <si>
    <t>Intelligent Cloud</t>
  </si>
  <si>
    <t>More Personal Computing</t>
  </si>
  <si>
    <t>Total segment revenue</t>
  </si>
  <si>
    <t>SEGMENT OPERATING INCOME</t>
  </si>
  <si>
    <t>Total segment operating income</t>
  </si>
  <si>
    <t>KEY CLOUD DISCLOSURE</t>
  </si>
  <si>
    <t>Azure revenue (minimum disclosed)</t>
  </si>
  <si>
    <t>&gt;75,000</t>
  </si>
  <si>
    <t>Azure and other cloud services growth</t>
  </si>
  <si>
    <t>Azure revenue growth</t>
  </si>
  <si>
    <t>Cash Flow Statement</t>
  </si>
  <si>
    <t>(In millions)</t>
  </si>
  <si>
    <t>Operations</t>
  </si>
  <si>
    <t>Adjustments for Non-cash Operation</t>
  </si>
  <si>
    <t>Depreciation, amortization, and other</t>
  </si>
  <si>
    <t>Stock-based compensation expense</t>
  </si>
  <si>
    <t>Net recognized losses (gains) on investments and derivatives</t>
  </si>
  <si>
    <t>Deferred income taxes</t>
  </si>
  <si>
    <t>Other non-cash adjustments</t>
  </si>
  <si>
    <t>Changes in operating assets and liabilities:</t>
  </si>
  <si>
    <t>Accounts receivable</t>
  </si>
  <si>
    <t>Inventories</t>
  </si>
  <si>
    <t>Other current assets</t>
  </si>
  <si>
    <t>Other long-term assets</t>
  </si>
  <si>
    <t>Other operating assets</t>
  </si>
  <si>
    <t>Accounts payable</t>
  </si>
  <si>
    <t>Deferred Revenue (Unearned revenue)</t>
  </si>
  <si>
    <t>Income taxes</t>
  </si>
  <si>
    <t>Other current liabilities</t>
  </si>
  <si>
    <t>Other long-term liabilities</t>
  </si>
  <si>
    <t>Other operating liabilities</t>
  </si>
  <si>
    <t>Net cash from operations</t>
  </si>
  <si>
    <t>Financing</t>
  </si>
  <si>
    <t>Net debt issuance/(repayment)</t>
  </si>
  <si>
    <t>Net share issuance/(repurchase)</t>
  </si>
  <si>
    <t>Common stock cash dividends paid</t>
  </si>
  <si>
    <t>Other, net</t>
  </si>
  <si>
    <t>Net cash used in financing</t>
  </si>
  <si>
    <t>Investing</t>
  </si>
  <si>
    <t>Capex</t>
  </si>
  <si>
    <t>Acquisition of companies, net of cash acquired and divestitures, and purchases of intangible and other assets</t>
  </si>
  <si>
    <t>Net investment activity</t>
  </si>
  <si>
    <t>Net cash used in investing</t>
  </si>
  <si>
    <t>Effect of foreign exchange rates on cash and cash equivalents</t>
  </si>
  <si>
    <t>Net change in cash and cash equivalents</t>
  </si>
  <si>
    <t>Cash and cash equivalents, beginning of period</t>
  </si>
  <si>
    <t>Cash and cash equivalents, end of period</t>
  </si>
  <si>
    <t>Balance sheet check</t>
  </si>
  <si>
    <t>Balance sheet</t>
  </si>
  <si>
    <t>Assets</t>
  </si>
  <si>
    <t>Current assets:</t>
  </si>
  <si>
    <t>Cash and cash equivalents</t>
  </si>
  <si>
    <t>Short-term investments</t>
  </si>
  <si>
    <t>Total current assets</t>
  </si>
  <si>
    <t xml:space="preserve">Property and equipment, net </t>
  </si>
  <si>
    <t>Operating lease right-of-use assets</t>
  </si>
  <si>
    <t>Equity and other investments</t>
  </si>
  <si>
    <t>Goodwill and intangible assets</t>
  </si>
  <si>
    <t>Total assets</t>
  </si>
  <si>
    <t>Liabilities and stockholders’ equity</t>
  </si>
  <si>
    <t>Current liabilities:</t>
  </si>
  <si>
    <t>Short-term debt</t>
  </si>
  <si>
    <t>Current portion of long-term debt</t>
  </si>
  <si>
    <t>Accrued compensation</t>
  </si>
  <si>
    <t>Short-term income taxes</t>
  </si>
  <si>
    <t>Short-term unearned revenue</t>
  </si>
  <si>
    <t>Total current liabilities</t>
  </si>
  <si>
    <t>Long-term debt</t>
  </si>
  <si>
    <t>Long-term unearned revenue</t>
  </si>
  <si>
    <t>Income Taxes</t>
  </si>
  <si>
    <t>Operating lease liabilities</t>
  </si>
  <si>
    <t>Total liabilities</t>
  </si>
  <si>
    <t>Commitments and contingencies</t>
  </si>
  <si>
    <t>Stockholders’ equity:</t>
  </si>
  <si>
    <t>Common stock</t>
  </si>
  <si>
    <t>Retained earnings</t>
  </si>
  <si>
    <t>Accumulated other comprehensive loss</t>
  </si>
  <si>
    <t>Total stockholders’ equity</t>
  </si>
  <si>
    <t>Total liabilities and stockholders’ equity</t>
  </si>
  <si>
    <t>Source note: Reported historical financial statements and segment information are sourced from Microsoft Corporation’s Form 10-K filings and official earnings release documents. Forecast figures are model estimates and are not reported by Microsoft.</t>
  </si>
  <si>
    <t>Common-Size Financial Analysis: MSFT</t>
  </si>
  <si>
    <t>(% of revenue)</t>
  </si>
  <si>
    <t>Depreciation and Amortization</t>
  </si>
  <si>
    <t>(% of segment total, except growth)</t>
  </si>
  <si>
    <t>(% of total assets)</t>
  </si>
  <si>
    <t>Cash and short-term investments</t>
  </si>
  <si>
    <t>Common-size analysis derived from the reported historical financial statements and model forecasts on the Fin Statement tab. Income statement and cash flow items are shown as a percentage of revenue; balance-sheet items as a percentage of total assets.</t>
  </si>
  <si>
    <t>Financial Ratio Analysis</t>
  </si>
  <si>
    <t>(Ratios based on Fin Statement; $ in millions where noted)</t>
  </si>
  <si>
    <t>PROFITABILITY — CORE</t>
  </si>
  <si>
    <t>EBIT margin</t>
  </si>
  <si>
    <t>Net profit margin</t>
  </si>
  <si>
    <t>ROA</t>
  </si>
  <si>
    <t>ROE</t>
  </si>
  <si>
    <t>ROCE</t>
  </si>
  <si>
    <t>ROIC</t>
  </si>
  <si>
    <t>ROIC − WACC spread</t>
  </si>
  <si>
    <t>Incremental ROIC (approx.)</t>
  </si>
  <si>
    <t>Revenue growth</t>
  </si>
  <si>
    <t>LIQUIDITY — SECONDARY</t>
  </si>
  <si>
    <t>Current ratio</t>
  </si>
  <si>
    <t>Quick ratio</t>
  </si>
  <si>
    <t>Cash ratio</t>
  </si>
  <si>
    <t>Operating income growth</t>
  </si>
  <si>
    <t>LEVERAGE — CORE</t>
  </si>
  <si>
    <t>Debt-to-equity</t>
  </si>
  <si>
    <t>Debt-to-assets</t>
  </si>
  <si>
    <t>CFO / debt</t>
  </si>
  <si>
    <t>Interest coverage</t>
  </si>
  <si>
    <t>EFFICIENCY — SELECTIVE</t>
  </si>
  <si>
    <t>Asset turnover</t>
  </si>
  <si>
    <t>Receivables turnover</t>
  </si>
  <si>
    <t>Days sales outstanding (revenue-based estimate)</t>
  </si>
  <si>
    <t>CASH FLOW — CORE</t>
  </si>
  <si>
    <t>CFO margin</t>
  </si>
  <si>
    <t>Free cash flow</t>
  </si>
  <si>
    <t>CFO / net income</t>
  </si>
  <si>
    <t>CapEx / revenue</t>
  </si>
  <si>
    <t>CapEx / D&amp;A</t>
  </si>
  <si>
    <t>CapEx / CFO</t>
  </si>
  <si>
    <t>D&amp;A / revenue</t>
  </si>
  <si>
    <t>SEGMENT ANALYSIS</t>
  </si>
  <si>
    <t>PBP revenue mix</t>
  </si>
  <si>
    <t>Intelligent Cloud revenue mix</t>
  </si>
  <si>
    <t>MPC revenue mix</t>
  </si>
  <si>
    <t>PBP operating margin</t>
  </si>
  <si>
    <t>Intelligent Cloud operating margin</t>
  </si>
  <si>
    <t>MPC operating margin</t>
  </si>
  <si>
    <t>PBP revenue growth</t>
  </si>
  <si>
    <t>Intelligent Cloud revenue growth</t>
  </si>
  <si>
    <t>MPC revenue growth</t>
  </si>
  <si>
    <t>PBP contribution to EBIT</t>
  </si>
  <si>
    <t>Intelligent Cloud contribution to EBIT</t>
  </si>
  <si>
    <t>MPC contribution to EBIT</t>
  </si>
  <si>
    <t>PBP operating income growth</t>
  </si>
  <si>
    <t>Intelligent Cloud operating income growth</t>
  </si>
  <si>
    <t>MPC operating income growth</t>
  </si>
  <si>
    <t>Azure / cloud growth indicator (not AI revenue)</t>
  </si>
  <si>
    <t>Definitions: ROIC = NOPAT ÷ average invested capital; NOPAT uses the reported effective tax rate (tax expense ÷ EBT), and invested capital = equity + short-term debt + current maturities + long-term debt − cash and short-term investments. Incremental ROIC is an approximate diagnostic, not a direct measure of AI returns. DSO is estimated using total revenue because credit sales are not separately disclosed. Net cash = cash and short-term investments − debt. Interest coverage = EBIT ÷ absolute interest expense; FY2022–FY2025 use reported expense and FY2026A uses average debt × the FY2025 implied effective rate. FY2023 segment growth is omitted because FY2022 is not comparable to the FY2023–FY2025 recast segment basis. The Azure/cloud indicator preserves the disclosed metric and is not labeled as AI revenue. ROCE = EBIT ÷ average capital employed, where capital employed = total assets − current liabilities.</t>
  </si>
  <si>
    <t>Weighted Average Cost of Capital.</t>
  </si>
  <si>
    <t xml:space="preserve"> </t>
  </si>
  <si>
    <t>Input</t>
  </si>
  <si>
    <t>Risk-free rate</t>
  </si>
  <si>
    <t>Equity Risk Premium</t>
  </si>
  <si>
    <t>Levered Beta</t>
  </si>
  <si>
    <t>Cost of Equity</t>
  </si>
  <si>
    <t>Stock Price</t>
  </si>
  <si>
    <t>Share outstanding</t>
  </si>
  <si>
    <t>Market Value of Equity</t>
  </si>
  <si>
    <t>Long-term Debt</t>
  </si>
  <si>
    <t>Intrest expense</t>
  </si>
  <si>
    <t>Income Before Tax/EBT</t>
  </si>
  <si>
    <t>Income Tax expense</t>
  </si>
  <si>
    <t xml:space="preserve">Debt wieght </t>
  </si>
  <si>
    <t>Equity weight</t>
  </si>
  <si>
    <t>WACC</t>
  </si>
  <si>
    <t>Source</t>
  </si>
  <si>
    <t>Sources: home.treasury.gov daily treasury yield curve Oct-2026; aswathdamodaran.blogspot.com/2026/10</t>
  </si>
  <si>
    <t>Date</t>
  </si>
  <si>
    <t>MSFT</t>
  </si>
  <si>
    <t>SP500</t>
  </si>
  <si>
    <t>MSFT_Return</t>
  </si>
  <si>
    <t>Market_Return</t>
  </si>
  <si>
    <t>SUMMARY OUTPUT For Year 2022</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</si>
  <si>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</si>
  <si>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</si>
  <si>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</si>
  <si>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</si>
  <si>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</si>
  <si>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</si>
  <si>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</si>
  <si>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</si>
  <si>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</si>
  <si>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</si>
  <si>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</si>
  <si>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</si>
  <si>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</si>
  <si>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</si>
  <si>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</si>
  <si>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</si>
  <si>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</si>
  <si>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</si>
  <si>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</si>
  <si>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</si>
  <si>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</si>
  <si>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</si>
  <si>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</si>
  <si>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</si>
  <si>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SUMMARY OUTPUT</t>
  </si>
  <si>
    <t>Trend Analysis and Observation</t>
  </si>
  <si>
    <t>Net Change</t>
  </si>
  <si>
    <t>Change per years</t>
  </si>
  <si>
    <t>Net Direction</t>
  </si>
  <si>
    <t>Pattern</t>
  </si>
  <si>
    <t>Profitability</t>
  </si>
  <si>
    <t>FY2022 - FY 2026</t>
  </si>
  <si>
    <t>EBIT (operating) margin</t>
  </si>
  <si>
    <t>ROIC (NOPAT ÷ average invested capital)</t>
  </si>
  <si>
    <t>ROCE (EBIT ÷ average capital employed)</t>
  </si>
  <si>
    <t>WACC (WACC tab, row 28)</t>
  </si>
  <si>
    <t>Revenue growth (YoY)</t>
  </si>
  <si>
    <t>Operating income growth (YoY)</t>
  </si>
  <si>
    <t>Memo: Other income (expense), net, % of revenue</t>
  </si>
  <si>
    <t>Memo: Effective tax rate (tax ÷ EBT)</t>
  </si>
  <si>
    <t>Capital Intensity</t>
  </si>
  <si>
    <t>Total revenue ($m)</t>
  </si>
  <si>
    <t>Capital expenditure ($m)</t>
  </si>
  <si>
    <t>Net PP&amp;E ($m)</t>
  </si>
  <si>
    <t>Net PP&amp;E / total assets</t>
  </si>
  <si>
    <t>Depreciation &amp; amortization ($m)</t>
  </si>
  <si>
    <t>Net PP&amp;E ÷ D&amp;A</t>
  </si>
  <si>
    <t>Cash Generation</t>
  </si>
  <si>
    <t>Net cash from operations — CFO ($m)</t>
  </si>
  <si>
    <t>CFO margin (CFO ÷ revenue)</t>
  </si>
  <si>
    <t>Net income ($m)</t>
  </si>
  <si>
    <t>Free cash flow — FCF ($m)</t>
  </si>
  <si>
    <t>FCF margin (FCF ÷ revenue)</t>
  </si>
  <si>
    <t>FCF / net income</t>
  </si>
  <si>
    <t>Allocation: dividends paid ($m)</t>
  </si>
  <si>
    <t>Allocation: net share repurchases ($m)</t>
  </si>
  <si>
    <t>CapEx + dividends + net repurchases ($m)</t>
  </si>
  <si>
    <t>CFO less listed uses ($m)</t>
  </si>
  <si>
    <t>CFO coverage of listed uses (CFO ÷ uses)</t>
  </si>
  <si>
    <t>Memo: net debt repayment (+) / issuance (−) ($m)</t>
  </si>
  <si>
    <t>Memo: CFO less listed uses and net debt repayment ($m)</t>
  </si>
  <si>
    <t>Total interest-bearing debt ($m)</t>
  </si>
  <si>
    <t>Cash and short-term investments ($m)</t>
  </si>
  <si>
    <t>Net cash ($m) = cash &amp; ST investments − debt</t>
  </si>
  <si>
    <t>Total stockholders' equity ($m)</t>
  </si>
  <si>
    <t>Interest expense ($m, absolute)</t>
  </si>
  <si>
    <t>Interest coverage (EBIT ÷ interest expense)</t>
  </si>
  <si>
    <t xml:space="preserve">Cash ratio </t>
  </si>
  <si>
    <t>Net debt issuance / (repayment) ($m)</t>
  </si>
  <si>
    <t>Net share issuance / (repurchase) ($m)</t>
  </si>
  <si>
    <t>Business Mix</t>
  </si>
  <si>
    <t>PBP — revenue ($m)</t>
  </si>
  <si>
    <t>Intelligent Cloud — revenue ($m)</t>
  </si>
  <si>
    <t>MPC — revenue ($m)</t>
  </si>
  <si>
    <t>PBP — operating income ($m)</t>
  </si>
  <si>
    <t>Intelligent Cloud — operating income ($m)</t>
  </si>
  <si>
    <t>MPC — operating income ($m)</t>
  </si>
  <si>
    <t>PBP — revenue growth (YoY)</t>
  </si>
  <si>
    <t>Intelligent Cloud — revenue growth (YoY)</t>
  </si>
  <si>
    <t>MPC — revenue growth (YoY)</t>
  </si>
  <si>
    <t>PBP — operating income growth (YoY)</t>
  </si>
  <si>
    <t>Intelligent Cloud — operating income growth (YoY)</t>
  </si>
  <si>
    <t>MPC — operating income growth (YoY)</t>
  </si>
  <si>
    <t>PBP — operating margin</t>
  </si>
  <si>
    <t>Intelligent Cloud — operating margin</t>
  </si>
  <si>
    <t>MPC — operating margin</t>
  </si>
  <si>
    <t>PBP — share of segment revenue</t>
  </si>
  <si>
    <t>Intelligent Cloud — share of segment revenue</t>
  </si>
  <si>
    <t>MPC — share of segment revenue</t>
  </si>
  <si>
    <t>PBP — share of segment operating income</t>
  </si>
  <si>
    <t>Intelligent Cloud — share of segment operating income</t>
  </si>
  <si>
    <t>MPC — share of segment operating income</t>
  </si>
  <si>
    <t>PBP — OI share minus revenue share (pp)</t>
  </si>
  <si>
    <t>Intelligent Cloud — OI share minus revenue share (pp)</t>
  </si>
  <si>
    <t>MPC — OI share minus revenue share (pp)</t>
  </si>
  <si>
    <t>Memo: Azure / cloud growth indicator (not AI revenue)</t>
  </si>
  <si>
    <t>Drivers</t>
  </si>
  <si>
    <t>Scenario (1/2/3)</t>
  </si>
  <si>
    <t>(In millions, unless stated)</t>
  </si>
  <si>
    <t>1 = Bear, 2 = Base, 3 = Bull. Drives every "live" row and the whole model.</t>
  </si>
  <si>
    <t>Revenue mix</t>
  </si>
  <si>
    <t>Bear Case</t>
  </si>
  <si>
    <t>Base Case</t>
  </si>
  <si>
    <t>Bull Case</t>
  </si>
  <si>
    <t>Services share of revenue (derived = 1 - product share)</t>
  </si>
  <si>
    <t>Product gross margin (FY26 historical calibration; active COGS driver)</t>
  </si>
  <si>
    <t>Bear</t>
  </si>
  <si>
    <t>Base</t>
  </si>
  <si>
    <t>Bull</t>
  </si>
  <si>
    <t>Service gross margin (IMPLIED OUTPUT; not independent driver)</t>
  </si>
  <si>
    <t>Segement Revenue Growth</t>
  </si>
  <si>
    <t>Intelligent Cloud Revenue Growth</t>
  </si>
  <si>
    <t>Productivity &amp; Business Process Growth</t>
  </si>
  <si>
    <t>More Personal Computing Growth</t>
  </si>
  <si>
    <t>Consolidated gross margin (active COGS driver; supersedes service margin)</t>
  </si>
  <si>
    <t>Operating margin - (reference only; model CALCULATES margin)</t>
  </si>
  <si>
    <t>Research &amp; Development(R&amp;D/Revenue)</t>
  </si>
  <si>
    <t>Sales &amp; marketing / revenue</t>
  </si>
  <si>
    <t>G&amp;A / revenue</t>
  </si>
  <si>
    <t>Cash PP&amp;E additions ($m)</t>
  </si>
  <si>
    <t>Stock Based Compensation(% Revenue)</t>
  </si>
  <si>
    <t>Account Receivable</t>
  </si>
  <si>
    <t>Account Payable</t>
  </si>
  <si>
    <t>Inventory</t>
  </si>
  <si>
    <t>Other Input</t>
  </si>
  <si>
    <t>Live</t>
  </si>
  <si>
    <t>Interest Rate</t>
  </si>
  <si>
    <t>Beginning shares( Diluted)</t>
  </si>
  <si>
    <t>Tax rate</t>
  </si>
  <si>
    <t>Lease life(year)</t>
  </si>
  <si>
    <t>Net share Reduction ( Annual)1</t>
  </si>
  <si>
    <t>Deferred Revenue</t>
  </si>
  <si>
    <t>Lease Addition</t>
  </si>
  <si>
    <t>Dividend payout ratio</t>
  </si>
  <si>
    <t>Depreciation(% Opening Net PP&amp;E)</t>
  </si>
  <si>
    <t>Equity Investment</t>
  </si>
  <si>
    <t xml:space="preserve">Cash Yield </t>
  </si>
  <si>
    <t>Short-Term Investment</t>
  </si>
  <si>
    <t>DCF Assumptions</t>
  </si>
  <si>
    <t>Terminal Growth</t>
  </si>
  <si>
    <t>WACC — 23-Oct-2026 market-informed calculation (WACC!I28)</t>
  </si>
  <si>
    <t>Terminal ROIC on new investment — Bear / Base / Bull</t>
  </si>
  <si>
    <t>Capital return inputs (moved from 3 statement Model row 71 hard-codes)</t>
  </si>
  <si>
    <t>Share repurchases ($m)</t>
  </si>
  <si>
    <t>Include FY2026 equity/other investments in equity bridge (1=yes, 0=no)</t>
  </si>
  <si>
    <t>Gross Profit</t>
  </si>
  <si>
    <t>Cash, cash equivalents &amp; ST Investment</t>
  </si>
  <si>
    <t>Balance sheet Check</t>
  </si>
  <si>
    <t>Revenue &amp; COGS Schedule</t>
  </si>
  <si>
    <t>Revenue schedule</t>
  </si>
  <si>
    <t>Total Revenue</t>
  </si>
  <si>
    <t>Segment Revenue Growth</t>
  </si>
  <si>
    <t>Revenue Mix</t>
  </si>
  <si>
    <t>Services</t>
  </si>
  <si>
    <t>Revenue Growth</t>
  </si>
  <si>
    <t>COGS Schedule</t>
  </si>
  <si>
    <t>Total Cost</t>
  </si>
  <si>
    <t>COGS Mix</t>
  </si>
  <si>
    <t>GrossProfit</t>
  </si>
  <si>
    <t>Gross Margin</t>
  </si>
  <si>
    <t>PP&amp;E &amp; Depreciation Schedule</t>
  </si>
  <si>
    <t>Depreciation Rate</t>
  </si>
  <si>
    <t>Gross PP&amp;E</t>
  </si>
  <si>
    <t>(+) Capex Addition</t>
  </si>
  <si>
    <t>Ending Gross PP&amp;E</t>
  </si>
  <si>
    <t>Accumulated Depreciation</t>
  </si>
  <si>
    <t>(-)Asset Retirements</t>
  </si>
  <si>
    <t>Beginning Net PP&amp;E</t>
  </si>
  <si>
    <t>Ending Net PP&amp;E</t>
  </si>
  <si>
    <t>Net PP&amp;E Check</t>
  </si>
  <si>
    <t>Working Capital Schedule</t>
  </si>
  <si>
    <t>Days in Period</t>
  </si>
  <si>
    <t>Days</t>
  </si>
  <si>
    <t>Total Amount</t>
  </si>
  <si>
    <t>Deferred Revenue( % Revenue)</t>
  </si>
  <si>
    <t>Deferred Revenue (Unearned)</t>
  </si>
  <si>
    <t>Operating Working Capital</t>
  </si>
  <si>
    <t>Cash changes</t>
  </si>
  <si>
    <t>Accounts Receivable</t>
  </si>
  <si>
    <t>Accounts Payable</t>
  </si>
  <si>
    <t>Working Capital Contribution to CFO</t>
  </si>
  <si>
    <t>Debt &amp; Interest Schedule1</t>
  </si>
  <si>
    <t>Short - Term Debt</t>
  </si>
  <si>
    <t>Current Portion of LT Debt</t>
  </si>
  <si>
    <t>Long - Term Debt</t>
  </si>
  <si>
    <t>Total Debt</t>
  </si>
  <si>
    <t>Beginning Debt</t>
  </si>
  <si>
    <t>(-) Debt Repayment</t>
  </si>
  <si>
    <t>(+) New Debt Issuance</t>
  </si>
  <si>
    <t>Ending Debt</t>
  </si>
  <si>
    <t>Average Debt</t>
  </si>
  <si>
    <t>Interest Expense</t>
  </si>
  <si>
    <t>Net Debt</t>
  </si>
  <si>
    <t>Equity &amp; Capital Return Schedule</t>
  </si>
  <si>
    <t>Share Count</t>
  </si>
  <si>
    <t>Beginning Diluted Shares Outstanding</t>
  </si>
  <si>
    <t>Ending Diluted Shares Outstanding</t>
  </si>
  <si>
    <t>Net shares Change</t>
  </si>
  <si>
    <t>Dividend</t>
  </si>
  <si>
    <t>Dividend Per share</t>
  </si>
  <si>
    <t>Dividend Growth (%)</t>
  </si>
  <si>
    <t>Total Dividends Paid</t>
  </si>
  <si>
    <t>Stock-Based Compensation</t>
  </si>
  <si>
    <t>SBC (% Revenue)</t>
  </si>
  <si>
    <t>Stock-Based Compensation Expenses</t>
  </si>
  <si>
    <t>Retained Earnings Roll-Forward</t>
  </si>
  <si>
    <t>Begiginng Retained Earnings</t>
  </si>
  <si>
    <t>(+) Net Income</t>
  </si>
  <si>
    <t>(-) Dividend Paid</t>
  </si>
  <si>
    <t>Ending Retained Earnings</t>
  </si>
  <si>
    <t>Operating &amp; Financial Lease Schedule2</t>
  </si>
  <si>
    <t>Lease Life (Years)</t>
  </si>
  <si>
    <t>Operating Lease</t>
  </si>
  <si>
    <t>Beginning ROU Asset</t>
  </si>
  <si>
    <t>(+) Lease Additions</t>
  </si>
  <si>
    <t>Ending ROU Asset</t>
  </si>
  <si>
    <t>Lease Liability</t>
  </si>
  <si>
    <t>Beginning Lease Liability</t>
  </si>
  <si>
    <t>Ending Lease Liability</t>
  </si>
  <si>
    <t>Financial Lease</t>
  </si>
  <si>
    <t xml:space="preserve">Beginning Lease Asset </t>
  </si>
  <si>
    <t>Ending Lease Asset</t>
  </si>
  <si>
    <t>Ending Operating ROU Asset</t>
  </si>
  <si>
    <t>Ending Finance Lease Asset</t>
  </si>
  <si>
    <t xml:space="preserve">Total ROU Asset </t>
  </si>
  <si>
    <t>Ending Operating Lease Liability</t>
  </si>
  <si>
    <t>Ending Finance Lease Liability</t>
  </si>
  <si>
    <t>Total Lease Liability</t>
  </si>
  <si>
    <t>Microsoft (MSFT) - Discounted cash flow</t>
  </si>
  <si>
    <t>Valuation inputs</t>
  </si>
  <si>
    <t>Terminal growth</t>
  </si>
  <si>
    <t>Tax rate on EBIT</t>
  </si>
  <si>
    <t>Management FY27 outlook 20%.</t>
  </si>
  <si>
    <t>Terminal ROIC on new investment</t>
  </si>
  <si>
    <t>Incremental terminal ROIC: Bear 12%, Base 15%, Bull 18%; based on FY26 incremental ROIC ~16.9%.</t>
  </si>
  <si>
    <t>Mid-year convention (1 = yes, 0 = no)</t>
  </si>
  <si>
    <t>Terminal value method (1 = normalized reinvestment, 2 = final-year UFCF x (1+g))</t>
  </si>
  <si>
    <t>Diluted shares (m)</t>
  </si>
  <si>
    <t>Reference share price ($)</t>
  </si>
  <si>
    <t>Unlevered free cash flow</t>
  </si>
  <si>
    <t>Discount period (t, years)</t>
  </si>
  <si>
    <t>Revenue</t>
  </si>
  <si>
    <t xml:space="preserve">  growth %</t>
  </si>
  <si>
    <t>EBIT (operating income)</t>
  </si>
  <si>
    <t xml:space="preserve">  EBIT margin</t>
  </si>
  <si>
    <t>Less: tax on EBIT</t>
  </si>
  <si>
    <t>NOPAT</t>
  </si>
  <si>
    <t>Economic CapEx: cash PP&amp;E + finance lease assets ($m)</t>
  </si>
  <si>
    <t>Unlevered free cash flow (UFCF)</t>
  </si>
  <si>
    <t xml:space="preserve">  UFCF % of revenue</t>
  </si>
  <si>
    <t>Discount factor</t>
  </si>
  <si>
    <t>PV of UFCF</t>
  </si>
  <si>
    <t>Reinvestment rate = g / terminal ROIC</t>
  </si>
  <si>
    <t>Terminal UFCF - method 1 (normalized)</t>
  </si>
  <si>
    <t>Terminal UFCF used</t>
  </si>
  <si>
    <t>Terminal value (Gordon growth)</t>
  </si>
  <si>
    <t>PV of terminal value</t>
  </si>
  <si>
    <t>Enterprise value to equity value</t>
  </si>
  <si>
    <t>Enterprise value</t>
  </si>
  <si>
    <t xml:space="preserve">  Terminal value % of EV</t>
  </si>
  <si>
    <t>Less: debt (current + long-term, FY26)</t>
  </si>
  <si>
    <t>Less: finance lease liabilities (FY26)</t>
  </si>
  <si>
    <t>Operating leases excluded: their cost is already inside EBIT. Finance leases treated as debt.</t>
  </si>
  <si>
    <t>Net bridge adjustments</t>
  </si>
  <si>
    <t>Equity value</t>
  </si>
  <si>
    <t>Value per share ($)</t>
  </si>
  <si>
    <t>Upside / (downside) vs reference price</t>
  </si>
  <si>
    <t>Cross-checks</t>
  </si>
  <si>
    <t>Implied EV / FY27E EBITDA</t>
  </si>
  <si>
    <t>Implied equity value / FY27E net income (P/E)</t>
  </si>
  <si>
    <t>Sensitivities moved to 'Valuation Sensitivities' — formula-driven what-if analysis</t>
  </si>
  <si>
    <t>MSFT | INSTITUTIONAL VALUATION SENSITIVITIES</t>
  </si>
  <si>
    <t>Valuation benchmark</t>
  </si>
  <si>
    <t>Value</t>
  </si>
  <si>
    <t>Calculated WACC</t>
  </si>
  <si>
    <t>Terminal incremental ROIC</t>
  </si>
  <si>
    <t>WHAT-IF 1 | WACC × TERMINAL INCREMENTAL ROIC</t>
  </si>
  <si>
    <t>WACC / ROIC</t>
  </si>
  <si>
    <t>WHAT-IF 2 | WACC × PERPETUAL GROWTH</t>
  </si>
  <si>
    <t>WACC / g</t>
  </si>
  <si>
    <t>INTERPRETATION / METHODOLOGY</t>
  </si>
  <si>
    <t>Conditional formatting: red = lower intrinsic value; pale yellow = mid-range; green = higher intrinsic value.</t>
  </si>
  <si>
    <t>Scenario operating assumptions switch via Assumptions!L2; sensitivities reflect the selected scenario.</t>
  </si>
  <si>
    <t>Product revenue growth — analyst sensitivity, not independently evidenced</t>
  </si>
  <si>
    <t>RETIRED — Dividend growth (dividend payout ratio row 94 drives forecast)</t>
  </si>
  <si>
    <t>RETIRED — New debt issuance input (debt issuance = 0 in schedule)</t>
  </si>
  <si>
    <t>RETIRED — Acquisition purchases input (acquisition forecast = 0)</t>
  </si>
  <si>
    <t>RETIRED — SBC common stock input (SBC % revenue row 67 drives forecast)</t>
  </si>
  <si>
    <t>Estimated segment operating income — allocation of consolidated EBIT</t>
  </si>
  <si>
    <t>Total allocated segment operating income</t>
  </si>
  <si>
    <t>Allocated segment EBIT less consolidated EBIT (arithmetic reconciliation only)</t>
  </si>
  <si>
    <t>(+) Noncash finance lease asset additions (not disposals)</t>
  </si>
  <si>
    <t>(+) PP&amp;E depreciation (includes lease-financed assets in PP&amp;E base)</t>
  </si>
  <si>
    <t>Finance lease asset amortization — subledger memo (not additional D&amp;A)</t>
  </si>
  <si>
    <t>Finance lease liability reduction proxy — not contractual principal schedule</t>
  </si>
  <si>
    <t>Operating lease ROU reduction proxy — memorandum only</t>
  </si>
  <si>
    <t>Operating asset/liability adjustments incl. provisional lease bridge</t>
  </si>
  <si>
    <t>Status</t>
  </si>
  <si>
    <t>Finance lease discount rate (FY26 disclosed)</t>
  </si>
  <si>
    <t>Operating lease discount rate (FY26 disclosed)</t>
  </si>
  <si>
    <t>Operating lease cost yield (FY26)</t>
  </si>
  <si>
    <t>Operating lease cash / expense ratio (FY26)</t>
  </si>
  <si>
    <t>FY2026 current operating lease liability</t>
  </si>
  <si>
    <t>FY2026 current finance lease liability</t>
  </si>
  <si>
    <t>FY2026 long-term finance lease liability</t>
  </si>
  <si>
    <t>WACC pre-tax debt cost</t>
  </si>
  <si>
    <t>Operating lease CFO bridge = lease expense less cash payment</t>
  </si>
  <si>
    <t>Operating lease liabilities — historical LT; forecast total</t>
  </si>
  <si>
    <t>Other LT liabilities + total finance lease liabilities (forecast)</t>
  </si>
  <si>
    <t>Operating lease ROU amortization = expense less interest</t>
  </si>
  <si>
    <t>Operating lease principal reduction = cash less interest</t>
  </si>
  <si>
    <t>Operating lease interest accretion — schedule only</t>
  </si>
  <si>
    <t>Operating lease expense — memo; embedded in EBIT</t>
  </si>
  <si>
    <t>Operating lease total cash payment — memo</t>
  </si>
  <si>
    <t>Finance lease interest expense</t>
  </si>
  <si>
    <t>Finance lease total cash payment — memo</t>
  </si>
  <si>
    <t>Debt-like capital</t>
  </si>
  <si>
    <t>Finance lease liabilities</t>
  </si>
  <si>
    <t>Pre-tax cost of debt (clean assumption)</t>
  </si>
  <si>
    <t>Debt-like capital includes FY2026 finance lease liabilities; debt cost uses clean 5.0% assumption; 20% marginal tax</t>
  </si>
  <si>
    <t>WACC includes FY2026 finance lease liabilities as debt-like capital and a 5.0% pretax debt cost.</t>
  </si>
  <si>
    <t>FY26 diluted shares (WACC tab / Assumptions L88).</t>
  </si>
  <si>
    <t>Cash effect of AR, inventory, nonlease operating assets/liabilities and the identity-driven operating lease bridge (model rows 61-67).</t>
  </si>
  <si>
    <t>Trend Analysis</t>
  </si>
  <si>
    <t>Assumptions</t>
  </si>
  <si>
    <t>Metric</t>
  </si>
  <si>
    <t>FY2026</t>
  </si>
  <si>
    <t>FY2031E</t>
  </si>
  <si>
    <t>Cash CapEx / revenue</t>
  </si>
  <si>
    <t>n/a</t>
  </si>
  <si>
    <t>Depreciation annual rate adjustment vs FY2027 (half-year convention now used)</t>
  </si>
  <si>
    <t>DCF NORMALIZATION / VALUATION CONTROLS</t>
  </si>
  <si>
    <t>Terminal EBIT margin target (converges to FY2026 actual)</t>
  </si>
  <si>
    <t>Terminal fade years</t>
  </si>
  <si>
    <t>Minimum operating cash reserve ($m; one month FY2026 cash operating costs)</t>
  </si>
  <si>
    <t>Equity / other investment inclusion percentage</t>
  </si>
  <si>
    <t>DCF mid-year convention (1=yes, 0=no)</t>
  </si>
  <si>
    <t>Mid-year convention enabled to reflect intra-year cash generation.</t>
  </si>
  <si>
    <t>Method 1 applies only after the FY2032-FY2036 normalization bridge.</t>
  </si>
  <si>
    <t>Consolidated PP&amp;E depreciation (includes lease-financed assets in the PP&amp;E base). Finance-lease memo amortization and lease payments are excluded.</t>
  </si>
  <si>
    <t>Plus: excess cash &amp; short-term investments (FY26)</t>
  </si>
  <si>
    <t>Cash less an explicit minimum operating reserve from Assumptions!H118.</t>
  </si>
  <si>
    <t>Plus: equity / other investments after inclusion haircut</t>
  </si>
  <si>
    <t>Inclusion percentage is an editable valuation assumption pending asset-level fair-value review.</t>
  </si>
  <si>
    <t>CAPITAL INVESTMENT / CASH FCF RECONCILIATION</t>
  </si>
  <si>
    <t>FY2027E</t>
  </si>
  <si>
    <t>FY2028E</t>
  </si>
  <si>
    <t>FY2029E</t>
  </si>
  <si>
    <t>FY2030E</t>
  </si>
  <si>
    <t>Consolidated D&amp;A add-back</t>
  </si>
  <si>
    <t>Cash PP&amp;E additions</t>
  </si>
  <si>
    <t>Operating NWC / lease cash adjustment</t>
  </si>
  <si>
    <t>Cash FCF proxy</t>
  </si>
  <si>
    <t>Finance lease asset additions</t>
  </si>
  <si>
    <t>Economic UFCF</t>
  </si>
  <si>
    <t>UFCF tie check</t>
  </si>
  <si>
    <t>TERMINAL NORMALIZATION BRIDGE</t>
  </si>
  <si>
    <t>FY2032E</t>
  </si>
  <si>
    <t>FY2033E</t>
  </si>
  <si>
    <t>FY2034E</t>
  </si>
  <si>
    <t>FY2035E</t>
  </si>
  <si>
    <t>FY2036E</t>
  </si>
  <si>
    <t>EBIT</t>
  </si>
  <si>
    <t>Incremental ROIC</t>
  </si>
  <si>
    <t>Reinvestment rate</t>
  </si>
  <si>
    <t>Reinvestment</t>
  </si>
  <si>
    <t>UFCF</t>
  </si>
  <si>
    <t>Discount period</t>
  </si>
  <si>
    <t>Growth fade check</t>
  </si>
  <si>
    <t>Margin fade check</t>
  </si>
  <si>
    <t>Terminal UFCF step</t>
  </si>
  <si>
    <t>Terminal value (at FY2036E)</t>
  </si>
  <si>
    <t>Terminal-year NOPAT = FY2036 NOPAT x (1+g)</t>
  </si>
  <si>
    <t>Terminal UFCF - method 2 (FY2036 UFCF x (1+g))</t>
  </si>
  <si>
    <t>Sum of PV of UFCF (FY2027-FY2036)</t>
  </si>
  <si>
    <t>Implied terminal EV / EBIT (FY2036E)</t>
  </si>
  <si>
    <t>Each cell independently recalculates FY2027-FY2036 UFCF and the post-fade terminal value; not an Excel Data Table object.</t>
  </si>
  <si>
    <t>Terminal sensitivities apply after the FY2032-FY2036 normalization bridge; the explicit fade schedule remains the selected scenario base.</t>
  </si>
  <si>
    <t>REVERSE DCF | MARKET-IMPLIED TERMINAL ECONOMICS</t>
  </si>
  <si>
    <t>Reference share price</t>
  </si>
  <si>
    <t>Required equity value</t>
  </si>
  <si>
    <t>Required enterprise value</t>
  </si>
  <si>
    <t>PV of explicit FY2027-FY2036 UFCF</t>
  </si>
  <si>
    <t>Required PV of terminal value</t>
  </si>
  <si>
    <t>Required terminal value at FY2036</t>
  </si>
  <si>
    <t>Required terminal UFCF FY2037</t>
  </si>
  <si>
    <t>Required terminal NOPAT FY2037</t>
  </si>
  <si>
    <t>Market-implied FY2036 EBIT margin</t>
  </si>
  <si>
    <t>Model FY2036 EBIT margin</t>
  </si>
  <si>
    <t>Implied margin gap</t>
  </si>
  <si>
    <t>Holding WACC, terminal growth, terminal ROIC and explicit fade assumptions constant.</t>
  </si>
  <si>
    <t>OPERATING DIAGNOSTIC | FY2027-FY2031 EBIT MARGIN × CASH PP&amp;E</t>
  </si>
  <si>
    <t>Margin Δ / Cash CapEx</t>
  </si>
  <si>
    <t>Diagnostic flexes explicit FY2027-FY2031 EBIT margins and cash PP&amp;E only; FY2032-FY2036 fade and terminal assumptions remain unchanged.</t>
  </si>
  <si>
    <t>Finance lease additions FY2027-FY2031 ($m; analyst assumption, not company guidance)</t>
  </si>
  <si>
    <t>Operating lease additions FY2027-FY2031 ($m; analyst assumption, not company guidance)</t>
  </si>
  <si>
    <t>Intangible amortization bridge</t>
  </si>
  <si>
    <t>Forecast intangible amortization ($m)</t>
  </si>
  <si>
    <t>FY2027-FY2030 use Microsoft disclosed estimates at 30-Sep-2025; FY2031 holds FY2030 expense flat as an analyst proxy because the disclosed thereafter balance is not allocated by year.</t>
  </si>
  <si>
    <t>Operating lease expense is explicitly carved out of forecast operating costs and deducted once in EBIT; CFO then adjusts expense to cash payment once.</t>
  </si>
  <si>
    <t>Finance lease principal remains a straight-line liability-reduction proxy, not a contractual payment schedule.</t>
  </si>
  <si>
    <t>Net diluted share reduction uses cash repurchases less an SBC dilution-value proxy, both divided by the fixed DCF reference share price.</t>
  </si>
  <si>
    <t>WACC uses a 20% marginal tax rate for the FY2026 debt tax shield; the displayed after-tax debt cost uses the historical effective tax rate and is diagnostic only.</t>
  </si>
  <si>
    <t>D&amp;A / other: historical reported; forecast PP&amp;E depreciation + intangible amortization</t>
  </si>
  <si>
    <t>Goodwill and intangible assets (forecast reduced by disclosed/proxy amortization; no acquisitions)</t>
  </si>
  <si>
    <t>Gross shares repurchased (m; cash repurchases / reference price)</t>
  </si>
  <si>
    <t>SBC dilution proxy (m; SBC expense / reference price)</t>
  </si>
  <si>
    <t>Add: forecast PP&amp;E depreciation + intangible amortization</t>
  </si>
  <si>
    <t>Historical effective tax rate</t>
  </si>
  <si>
    <t>After-tax cost of debt (historical effective-tax display)</t>
  </si>
  <si>
    <t>WACC (FY2026 uses 20% marginal tax shield)</t>
  </si>
  <si>
    <t>Company</t>
  </si>
  <si>
    <t>Ticker</t>
  </si>
  <si>
    <t>P / E</t>
  </si>
  <si>
    <t>Microsoft</t>
  </si>
  <si>
    <t>Alphabet</t>
  </si>
  <si>
    <t>GOOGL</t>
  </si>
  <si>
    <t>Amazon</t>
  </si>
  <si>
    <t>AMZN</t>
  </si>
  <si>
    <t>Oracle</t>
  </si>
  <si>
    <t>ORCL</t>
  </si>
  <si>
    <t>Salesforce</t>
  </si>
  <si>
    <t>CRM</t>
  </si>
  <si>
    <t>Peer median (ex-MSFT)</t>
  </si>
  <si>
    <t>Value / share</t>
  </si>
  <si>
    <t>Interpretation</t>
  </si>
  <si>
    <t>Conclusion</t>
  </si>
  <si>
    <t>Operating expenses excluding operating-lease expense and intangible amortization (memo)</t>
  </si>
  <si>
    <t>Operating-lease expense + intangible amortization explicitly included in EBIT</t>
  </si>
  <si>
    <t>Net diluted share reduction % (output from component roll-forward)</t>
  </si>
  <si>
    <t>Difference</t>
  </si>
  <si>
    <t>Market capitalizations as of 27-Oct-2026 | Latest completed fiscal-year GAAP fundamentals | USD millions except per-share data and multiples</t>
  </si>
  <si>
    <t>Fiscal period</t>
  </si>
  <si>
    <t>Market cap</t>
  </si>
  <si>
    <t>Net debt / (cash)</t>
  </si>
  <si>
    <t>D&amp;A</t>
  </si>
  <si>
    <t>Operating cash flow</t>
  </si>
  <si>
    <t>Cash CapEx</t>
  </si>
  <si>
    <t>EV / EBITDA</t>
  </si>
  <si>
    <t>EV / FCF</t>
  </si>
  <si>
    <t>FCF yield</t>
  </si>
  <si>
    <t>Comparability role</t>
  </si>
  <si>
    <t>Source / definition</t>
  </si>
  <si>
    <t>Target; hyperscale cloud + software</t>
  </si>
  <si>
    <t>Microsoft FY2026 model/10-K; market cap 27-Oct-2026</t>
  </si>
  <si>
    <t>FY2025</t>
  </si>
  <si>
    <t>Hyperscale cloud + AI platform</t>
  </si>
  <si>
    <t>Hyperscale cloud; retail mix limits comparability</t>
  </si>
  <si>
    <t>Cloud infrastructure + enterprise software; negative FCF</t>
  </si>
  <si>
    <t>Enterprise SaaS; lower infrastructure intensity</t>
  </si>
  <si>
    <t>Maximum</t>
  </si>
  <si>
    <t>75th percentile</t>
  </si>
  <si>
    <t>25th percentile</t>
  </si>
  <si>
    <t>Minimum</t>
  </si>
  <si>
    <t>Selected multiple / yield</t>
  </si>
  <si>
    <t>MSFT metric</t>
  </si>
  <si>
    <t>Implied EV</t>
  </si>
  <si>
    <t>Implied equity value</t>
  </si>
  <si>
    <t>Upside / (downside)</t>
  </si>
  <si>
    <t>Use / limitation</t>
  </si>
  <si>
    <t>MARKET PREMIUM / EXPECTATIONS</t>
  </si>
  <si>
    <t>MSFT current</t>
  </si>
  <si>
    <t>Peer median</t>
  </si>
  <si>
    <t>Premium / (discount)</t>
  </si>
  <si>
    <t>Base DCF</t>
  </si>
  <si>
    <t>Market price</t>
  </si>
  <si>
    <t>Price gap</t>
  </si>
  <si>
    <t>A premium requires superior growth and returns from AI/cloud investment.</t>
  </si>
  <si>
    <t>The market prices Microsoft relative to the peer median earnings multiple.</t>
  </si>
  <si>
    <t>The premium requires substantial improvement in cash conversion as infrastructure matures.</t>
  </si>
  <si>
    <t>A lower yield means investors accept less current cash return for expected AI growth.</t>
  </si>
  <si>
    <t>AI INVESTMENT / REVERSE-DCF READ-THROUGH</t>
  </si>
  <si>
    <t>Model / market value</t>
  </si>
  <si>
    <t>Comparison value</t>
  </si>
  <si>
    <t>Gap</t>
  </si>
  <si>
    <t>Units</t>
  </si>
  <si>
    <t>Assessment</t>
  </si>
  <si>
    <t>Evidence required</t>
  </si>
  <si>
    <t>USD/share</t>
  </si>
  <si>
    <t>The DCF remains below the workbook benchmark.</t>
  </si>
  <si>
    <t>Higher growth, lower capital intensity or higher incremental ROIC</t>
  </si>
  <si>
    <t>Open</t>
  </si>
  <si>
    <t>Market-implied terminal UFCF</t>
  </si>
  <si>
    <t>USD millions</t>
  </si>
  <si>
    <t>The reverse DCF requires materially stronger terminal cash generation.</t>
  </si>
  <si>
    <t>Evidence that AI capex converts into durable revenue and FCF</t>
  </si>
  <si>
    <t>CapEx / revenue normalization</t>
  </si>
  <si>
    <t>%</t>
  </si>
  <si>
    <t>Capital intensity moderates but remains high.</t>
  </si>
  <si>
    <t>Utilization, pricing and infrastructure-efficiency evidence</t>
  </si>
  <si>
    <t>Terminal ROIC spread over WACC</t>
  </si>
  <si>
    <t>Long-run returns must remain above the cost of capital.</t>
  </si>
  <si>
    <t>AI-specific revenue, margin and asset-turnover disclosures</t>
  </si>
  <si>
    <t>METHODOLOGY / SOURCE NOTES</t>
  </si>
  <si>
    <t>PP&amp;E roll-forward</t>
  </si>
  <si>
    <t>FY2026 WACC updated to MSFT market close 27-Oct-2026; FY2026 debt and shares retained</t>
  </si>
  <si>
    <t>MSFT closing price source: finance.yahoo.com/quote/MSFT/history 27-Oct-2026 close $531.33</t>
  </si>
  <si>
    <t>USD millions except per share | Financial base: FY2026; valuation date: 27-Oct-2026</t>
  </si>
  <si>
    <t>MSFT closing price on 27-Oct-2026; single benchmark used for DCF upside/downside, reverse DCF and trading comps.</t>
  </si>
  <si>
    <t>As of 27 October 2026 | USD per diluted share | scenario-linked FY27-FY31 FCFF</t>
  </si>
  <si>
    <t>MSFT 27-Oct close</t>
  </si>
  <si>
    <t>Base DCF vs 27-Oct benchmark</t>
  </si>
  <si>
    <t>Challenge</t>
  </si>
  <si>
    <t>Workbook evidence</t>
  </si>
  <si>
    <t>Base assumption</t>
  </si>
  <si>
    <t>Historical / model comparison</t>
  </si>
  <si>
    <t>Why defensible</t>
  </si>
  <si>
    <t>What would invalidate it</t>
  </si>
  <si>
    <t>Why 15% terminal incremental ROIC?</t>
  </si>
  <si>
    <t>Trend Analysis F8:I8 and I12; DCF E9 and N41:R41</t>
  </si>
  <si>
    <t>Below FY2026 approximate incremental ROIC and far below latest total-company ROIC.</t>
  </si>
  <si>
    <t>Microsoft retains recurring software economics, cloud scale and platform reuse; primary evidence shows strong Azure growth, capacity-constrained demand and improving infrastructure throughput.</t>
  </si>
  <si>
    <t>Sustained incremental ROIC below WACC; continued decline toward low teens; weak AI monetization; persistent underutilization; or replacement CapEx materially above depreciation.</t>
  </si>
  <si>
    <t>Defensible as a cautious long-run assumption, but not company guidance.</t>
  </si>
  <si>
    <t>Supported with risk</t>
  </si>
  <si>
    <t>Is the terminal period sustainable?</t>
  </si>
  <si>
    <t>DCF N36:R46; DCF E35:E39; PP&amp;E J173:N183</t>
  </si>
  <si>
    <t>Five-year fade to 2.5% growth and 46.8% EBIT margin</t>
  </si>
  <si>
    <t>Growth fades 11.3% to 2.5%; margin fades 47.8% to 46.8%; reinvestment rate falls 75.6% to 16.7%.</t>
  </si>
  <si>
    <t>Net reinvestment equals growth divided by incremental ROIC. Maintenance and replacement are implicitly assumed to offset depreciation; additional reinvestment funds growth.</t>
  </si>
  <si>
    <t>Shorter hardware lives, obsolescence or replacement costs above depreciation; no utilization improvement; or margins below the normalized level.</t>
  </si>
  <si>
    <t>Coherent if maintenance CapEx broadly tracks depreciation; this is the key terminal limitation.</t>
  </si>
  <si>
    <t>Supported with limitation</t>
  </si>
  <si>
    <t>What is priced in at $531.33?</t>
  </si>
  <si>
    <t>Valuation Sensitivities C39:C49; DCF E39 and R38</t>
  </si>
  <si>
    <t>Hold WACC, growth, terminal ROIC and fade constant</t>
  </si>
  <si>
    <t>Market requires higher terminal UFCF and a materially higher implied margin than Base.</t>
  </si>
  <si>
    <t>The reverse DCF isolates the terminal cash requirement under unchanged assumptions.</t>
  </si>
  <si>
    <t>Evidence that the gap closes through lower capital intensity, stronger margins, faster growth or higher realized returns.</t>
  </si>
  <si>
    <t>A mathematical requirement, not a forecast or proof of realistic delivery.</t>
  </si>
  <si>
    <t>Market more demanding</t>
  </si>
  <si>
    <t>KEY CALCULATIONS</t>
  </si>
  <si>
    <t>Comparison</t>
  </si>
  <si>
    <t>Source cells</t>
  </si>
  <si>
    <t>FY2026 total ROIC</t>
  </si>
  <si>
    <t>Historical capital productivity remains high but has declined from the FY2024 peak.</t>
  </si>
  <si>
    <t>Trend Analysis I8</t>
  </si>
  <si>
    <t>FY2026 incremental ROIC</t>
  </si>
  <si>
    <t>Recent incremental return exceeds the 15% terminal assumption but is volatile.</t>
  </si>
  <si>
    <t>Trend Analysis I12</t>
  </si>
  <si>
    <t>Haircut versus recent returns; remains above WACC.</t>
  </si>
  <si>
    <t>DCF E9</t>
  </si>
  <si>
    <t>FY2036 reinvestment rate</t>
  </si>
  <si>
    <t>Terminal growth requires reinvestment rather than assuming zero investment.</t>
  </si>
  <si>
    <t>DCF R42</t>
  </si>
  <si>
    <t>Required terminal UFCF</t>
  </si>
  <si>
    <t>Market requirement exceeds Base terminal cash flow.</t>
  </si>
  <si>
    <t>Valuation Sensitivities C45 / DCF E39</t>
  </si>
  <si>
    <t>Required FY2036 EBIT margin</t>
  </si>
  <si>
    <t>Market-implied margin is substantially above the model normalization target.</t>
  </si>
  <si>
    <t>Valuation Sensitivities C47:C49</t>
  </si>
  <si>
    <t>15.0% exceeds the 9.05% WACC by about 5.9 percentage points.</t>
  </si>
  <si>
    <t>16.7% of terminal NOPAT is reinvested for 2.5% growth.</t>
  </si>
  <si>
    <t>The market requires roughly 45% more terminal UFCF than Base.</t>
  </si>
  <si>
    <t>A 68.0% implied margin versus 46.8% Base is not treated as realistic without different assumptions.</t>
  </si>
  <si>
    <t>PRIMARY-SOURCE SUPPORT AND LIMITATIONS</t>
  </si>
  <si>
    <t>Microsoft FY2026 reported revenue of $331.8bn, Microsoft Cloud revenue of $214.4bn, Azure growth of 41% and Azure revenue above $100bn. Management states that it is bringing capacity online faster, increasing utilization and improving performance and cost across the stack.</t>
  </si>
  <si>
    <t>The FY2026 earnings call reports 88 data centers added during the year, another gigawatt of capacity in Q4, GPU dock-to-live times reduced by nearly 50%, and Copilot workload throughput increased fourfold. These facts support potential operating leverage, but they do not prove a 15% perpetual incremental ROIC.</t>
  </si>
  <si>
    <t>Terminal limitation: the normalized reinvestment framework models net investment, not a separate gross hardware-replacement schedule after FY2036. Its sustainability therefore depends on maintenance and replacement CapEx being broadly covered by depreciation while additional net reinvestment funds growth.</t>
  </si>
  <si>
    <t>Decision statement: I view 15% as a defensible but uncertain Base assumption because it is below recent incremental and total ROIC. I do not view the $531.33 market-implied requirement as the most realistic single outcome: under unchanged WACC, growth, ROIC and fade assumptions, it requires $454.9bn of terminal UFCF and a 68.0% FY2036 EBIT margin versus Base values of $312.9bn and 46.8%. The market could instead be pricing a combination of stronger explicit growth, lower capital intensity or higher realized returns.</t>
  </si>
  <si>
    <t>Sensitivity tested</t>
  </si>
  <si>
    <t>Downside case</t>
  </si>
  <si>
    <t>Upside case</t>
  </si>
  <si>
    <t>Downside vs Base</t>
  </si>
  <si>
    <t>Upside vs Base</t>
  </si>
  <si>
    <t>Tested span</t>
  </si>
  <si>
    <t>WACC +/- 0.50%</t>
  </si>
  <si>
    <t>Terminal growth +/- 0.50%</t>
  </si>
  <si>
    <t>Terminal incremental ROIC +/- 3.0%</t>
  </si>
  <si>
    <t>Explicit-period cash PP&amp;E +/- 5%</t>
  </si>
  <si>
    <t>Largest impact within the workbook’s tested increments.</t>
  </si>
  <si>
    <t>Material terminal driver, but smaller than the tested WACC movement.</t>
  </si>
  <si>
    <t>Material and asymmetric; lower ROIC hurts more than higher ROIC helps.</t>
  </si>
  <si>
    <t>Smallest isolated impact in the current explicit-period diagnostic.</t>
  </si>
  <si>
    <t>TRADING-COMPARABLE RECONCILIATION</t>
  </si>
  <si>
    <t>Implied value / share</t>
  </si>
  <si>
    <t>Premium to DCF</t>
  </si>
  <si>
    <t>Discount to market</t>
  </si>
  <si>
    <t>Supports / contradicts DCF</t>
  </si>
  <si>
    <t>Infrastructure effect</t>
  </si>
  <si>
    <t>STRONGEST CREDIBLE UPSIDE COUNTERARGUMENT</t>
  </si>
  <si>
    <t>Current Base treatment</t>
  </si>
  <si>
    <t>Why Base may be conservative</t>
  </si>
  <si>
    <t>Observable revision trigger</t>
  </si>
  <si>
    <t>Would revise what?</t>
  </si>
  <si>
    <t>Current judgment</t>
  </si>
  <si>
    <t>Capacity converts to revenue faster</t>
  </si>
  <si>
    <t>Capital intensity normalizes faster</t>
  </si>
  <si>
    <t>AI monetization sustains operating leverage</t>
  </si>
  <si>
    <t>Comparable valuation support</t>
  </si>
  <si>
    <t>Azure FY2026 growth 41%; Microsoft Cloud growth 27%; Intelligent Cloud Base growth 32% to 18%.</t>
  </si>
  <si>
    <t>Base already assumes strong growth, but fades it over time.</t>
  </si>
  <si>
    <t>Base retains exceptionally high cash CapEx through FY2031.</t>
  </si>
  <si>
    <t>FY2026 EBIT margin 46.8%; Base reaches 48.1% in FY2031 before fading to 46.8%.</t>
  </si>
  <si>
    <t>Base assumes limited long-run consolidated margin expansion.</t>
  </si>
  <si>
    <t>Capacity-constrained demand and deployment efficiencies could turn the asset build into revenue sooner than modeled.</t>
  </si>
  <si>
    <t>Azure and Intelligent Cloud growth persist above Base while backlog converts without weaker pricing.</t>
  </si>
  <si>
    <t>Explicit revenue growth and near-term margins</t>
  </si>
  <si>
    <t>Credible, not proven</t>
  </si>
  <si>
    <t>Monitor</t>
  </si>
  <si>
    <t>Utilization and custom silicon could cause CapEx / revenue and CapEx / CFO to decline faster than Base.</t>
  </si>
  <si>
    <t>Cash CapEx intensity falls faster than the model while service levels and growth remain strong.</t>
  </si>
  <si>
    <t>Explicit-period reinvestment and FCF</t>
  </si>
  <si>
    <t>Strongest cash-flow upside</t>
  </si>
  <si>
    <t>Copilot and consumption-based AI could preserve margins despite infrastructure depreciation.</t>
  </si>
  <si>
    <t>Copilot paid seats, AI revenue, Azure margins and incremental ROIC remain above the Base trajectory.</t>
  </si>
  <si>
    <t>Margins and terminal incremental ROIC</t>
  </si>
  <si>
    <t>Market and peer evidence indicate investors capitalize Microsoft above the Base DCF.</t>
  </si>
  <si>
    <t>Sustained peer premiums accompanied by improving Microsoft FCF conversion rather than multiple expansion alone.</t>
  </si>
  <si>
    <t>Weight placed on trading multiples</t>
  </si>
  <si>
    <t>Corroborating evidence</t>
  </si>
  <si>
    <t>FINAL INVESTMENT JUDGMENT AND COUNTERARGUMENT</t>
  </si>
  <si>
    <t>Strongest counterargument: the Base case may be too conservative if Microsoft converts constrained AI capacity into revenue faster, improves utilization and performance per dollar, and normalizes cash CapEx more quickly than modeled while sustaining margins. This argument is supported by Azure and cloud growth, the large contracted backlog, faster infrastructure deployment and workload-throughput improvements, but it requires observable FCF conversion and stable incremental ROIC—not simply continued spending or multiple expansion.</t>
  </si>
  <si>
    <t>Economic CapEx / Revenue</t>
  </si>
  <si>
    <t>Economic CapEx / D&amp;A</t>
  </si>
  <si>
    <t>The corrected FY2026 incremental ROIC is approximately 16.9%, supporting 15% as a haircut rather than a certainty.</t>
  </si>
  <si>
    <t>Scenario</t>
  </si>
  <si>
    <t>Classification</t>
  </si>
  <si>
    <t>Method</t>
  </si>
  <si>
    <t>Net cash / CFO (conventional debt)</t>
  </si>
  <si>
    <t>Net cash / FCF (conventional debt)</t>
  </si>
  <si>
    <t>Net cash ($mm; conventional debt)</t>
  </si>
  <si>
    <t>Diagnostic only</t>
  </si>
  <si>
    <t>MICROSOFT (MSFT) | TRADING COMPARABLES VALUATION</t>
  </si>
  <si>
    <t>TRADING METHOD TREATMENT AND P/E CROSS-CHECK</t>
  </si>
  <si>
    <t>Excluded from the primary valuation: peer depreciation and amortization definitions are not harmonized.</t>
  </si>
  <si>
    <t>Retained primary historical peer-multiple cross-check; sensitive to fiscal-period and business-mix differences.</t>
  </si>
  <si>
    <t>Excluded from the primary valuation: FCF is after interest, so the denominator is not directly comparable with enterprise value.</t>
  </si>
  <si>
    <t>Supplementary cash-yield diagnostic only; no equivalent target price is assigned.</t>
  </si>
  <si>
    <t>Valuation conclusion</t>
  </si>
  <si>
    <t>Definitions: Enterprise value = market capitalization plus debt-like net debt. EBITDA is retained as a descriptive statistic, but peer D&amp;A definitions are not harmonized. FCF = operating cash flow less cash capital expenditures and is after interest. FCF yield = FCF / market capitalization.</t>
  </si>
  <si>
    <t>Method treatment: historical P/E is retained as the primary published peer cross-check. EV/EBITDA is excluded from the price conclusion pending harmonized D&amp;A. EV/FCF is excluded because after-interest FCF is mismatched with enterprise value. Cash FCF yield is diagnostic only; Oracle's negative FCF is not meaningful for cash-flow multiple statistics.</t>
  </si>
  <si>
    <t>Sources: Microsoft FY2026 model/10-K and Investor Relations; Alphabet and Amazon FY2025 Forms 10-K; Oracle and Salesforce FY2026 reported results/10-K; dated 27-Oct-2026 market capitalizations with source notes on the relevant inputs.</t>
  </si>
  <si>
    <t>TERMINAL ECONOMICS FRAMEWORK</t>
  </si>
  <si>
    <t>FY2026 total ROIC is approximately 35.9%, well above the 15.0% terminal incremental-return assumption, but the historical direction is downward.</t>
  </si>
  <si>
    <t>VALUATION ROBUSTNESS</t>
  </si>
  <si>
    <t>Excluded from primary valuation</t>
  </si>
  <si>
    <t>EBITDA adds back D&amp;A and ignores cash CapEx; peer D&amp;A definitions are not harmonized.</t>
  </si>
  <si>
    <t>Descriptive multiple only; no validated Microsoft target price is presented.</t>
  </si>
  <si>
    <t>Excluded</t>
  </si>
  <si>
    <t>Retained historical cross-check</t>
  </si>
  <si>
    <t>P/E captures current GAAP earnings but does not directly measure the cash burden of infrastructure investment.</t>
  </si>
  <si>
    <t>The reconciled peer median provides the published secondary valuation cross-check.</t>
  </si>
  <si>
    <t>Retained</t>
  </si>
  <si>
    <t>The denominator is after-interest FCF, which is not directly comparable with enterprise value.</t>
  </si>
  <si>
    <t>Cash conversion remains informative, but the EV/FCF target is not presented as comparable.</t>
  </si>
  <si>
    <t>Supplementary diagnostic</t>
  </si>
  <si>
    <t>Cash FCF yield shows current conversion after elevated infrastructure spending.</t>
  </si>
  <si>
    <t>Useful context only; no equivalent target price is assigned.</t>
  </si>
  <si>
    <t>FY2026 cash CapEx / revenue is 34.9%; FY2031 Base cash CapEx / revenue is approximately 28.5%, while economic investment including finance-lease additions is approximately 30.6%.</t>
  </si>
  <si>
    <t>The reconciled historical peer P/E implies approximately $506.61 per share; the Bull DCF is approximately $500.</t>
  </si>
  <si>
    <t>The retained P/E cross-check is above the Base DCF but remains below the dated market price.</t>
  </si>
  <si>
    <t>Base judgment: $403.26 remains the defensible central DCF value because it reflects high ongoing reinvestment, a 15% terminal incremental ROIC and a 46.8% normalized EBIT margin. The sensitivity tables show WACC is the largest isolated valuation driver within the tested increments. The retained historical peer P/E cross-check implies approximately $506.61 per share, below the $531.33 reference price; EV/EBITDA and EV/FCF are excluded from the primary conclusion, and FCF yield is diagnostic only.</t>
  </si>
  <si>
    <t>Periods: Microsoft and Oracle FY2026; Alphabet and Amazon FY2025; Salesforce FY2026. All market capitalizations and the Microsoft reference price are dated 27-Oct-2026. Fiscal year-ends differ, so historical P/E is a dated cross-check rather than a perfectly synchronized forward multiple.</t>
  </si>
  <si>
    <t>Peer relevance: Alphabet is the closest large-cap cloud/platform reference; Amazon adds hyperscale cloud but has a large retail mix; Oracle combines enterprise software and cloud infrastructure with different leverage and investment intensity; Salesforce is a SaaS reference with lower infrastructure intensity.</t>
  </si>
  <si>
    <t>Alphabet FY2025 Form 10-K; YCharts historical market cap $3.921tn on 27-Oct-2026</t>
  </si>
  <si>
    <t>Amazon FY2025 Form 10-K; dated market cap approximately $2.729tn on 27-Oct-2026 (rounded to $2.730tn)</t>
  </si>
  <si>
    <t>Oracle FY2026 results/10-K; FinanceCharts dated market cap $394.688bn on 27-Oct-2026 (rounded to $394.690bn)</t>
  </si>
  <si>
    <t>Salesforce FY2026 Form 10-K; 27-Oct-2026 close $240.89 x 823m reported shares = $198.252bn (rounded to $198.250bn)</t>
  </si>
  <si>
    <t>Cash FCF yield</t>
  </si>
  <si>
    <t>Historical Reported / Forecast Analyst-Modeled Segment Results</t>
  </si>
  <si>
    <t>SEGMENT OPERATING INCOME — FORECAST ANALYST ALLOCATION</t>
  </si>
  <si>
    <t>Note: FY2022 segment data is not comparable with FY2023–FY2026 due to reallocations. FY2027–FY2031 retains analyst-modeled legacy categories and estimated EBIT allocations; these are not reported post-reorganization segments.</t>
  </si>
  <si>
    <t>Other operating assets / operating lease CFO bridge (forecast aggregate)</t>
  </si>
  <si>
    <t>Other operating liabilities (forecast aggregate)</t>
  </si>
  <si>
    <t>Other long-term liabilities (forecast includes finance lease liabilities)</t>
  </si>
  <si>
    <t>Cash free cash flow (CFO less cash CapEx)</t>
  </si>
  <si>
    <t>Cash FCF margin</t>
  </si>
  <si>
    <t>SUPPLEMENTAL EFFICIENCY &amp; CAPITAL PRODUCTIVITY</t>
  </si>
  <si>
    <t>EBITDA margin</t>
  </si>
  <si>
    <t>Net working capital ($mm)</t>
  </si>
  <si>
    <t>Conventional debt / EBITDA</t>
  </si>
  <si>
    <t>Inventory turnover</t>
  </si>
  <si>
    <t>Inventory days</t>
  </si>
  <si>
    <t>Payables turnover</t>
  </si>
  <si>
    <t>Payable days</t>
  </si>
  <si>
    <t>Cash conversion cycle</t>
  </si>
  <si>
    <t>Economic investment / revenue</t>
  </si>
  <si>
    <t>Economic UFCF ($mm)</t>
  </si>
  <si>
    <t>Economic UFCF margin</t>
  </si>
  <si>
    <t>2022A</t>
  </si>
  <si>
    <t>2023A</t>
  </si>
  <si>
    <t>2024A</t>
  </si>
  <si>
    <t>2025A</t>
  </si>
  <si>
    <t>2027E</t>
  </si>
  <si>
    <t>2028E</t>
  </si>
  <si>
    <t>2029E</t>
  </si>
  <si>
    <t>2030E</t>
  </si>
  <si>
    <t>2031E</t>
  </si>
  <si>
    <t>Definitions: Inventory and payable efficiency use cost of revenue and average balance-sheet balances. Cash conversion cycle = DSO + inventory days − payable days. Economic investment/revenue includes cash PP&amp;E additions plus modeled finance-lease asset additions and is shown only for forecast periods because a consistently comparable historical lease-additions series is not available. Economic UFCF follows the audited DCF methodology and is distinct from cash FCF. Forecast ROIC−WACC spread uses the October 27, 2026 valuation-date WACC; historical spread retains fiscal-year-end WACC estimates.</t>
  </si>
  <si>
    <t>MICROSOFT CORPORATION — EQUITY RESEARCH DASHBOARD</t>
  </si>
  <si>
    <t>NASDAQ: MSFT | Independent valuation and capital-productivity analysis</t>
  </si>
  <si>
    <t>Research question: Can Microsoft's AI investment generate sufficient returns to justify current capital intensity?</t>
  </si>
  <si>
    <t>INVESTMENT OVERVIEW</t>
  </si>
  <si>
    <t>Valuation reference date</t>
  </si>
  <si>
    <t>Research judgment</t>
  </si>
  <si>
    <t>Valuation-cautious / Unrated</t>
  </si>
  <si>
    <t>Active scenario</t>
  </si>
  <si>
    <t>Scenario selector</t>
  </si>
  <si>
    <t>VALUATION SUMMARY</t>
  </si>
  <si>
    <t>Active-scenario DCF value</t>
  </si>
  <si>
    <t>Active upside / (downside)</t>
  </si>
  <si>
    <t>Terminal value / enterprise value</t>
  </si>
  <si>
    <t>Peer P/E median</t>
  </si>
  <si>
    <t>Indicative peer P/E value</t>
  </si>
  <si>
    <t>DCF / share</t>
  </si>
  <si>
    <t>Method note</t>
  </si>
  <si>
    <t>FY2026A</t>
  </si>
  <si>
    <t>Definition / unit</t>
  </si>
  <si>
    <t>Operating income</t>
  </si>
  <si>
    <t>Operating margin</t>
  </si>
  <si>
    <t>Economic CapEx</t>
  </si>
  <si>
    <t>Cash FCF</t>
  </si>
  <si>
    <t>Consolidated ROIC</t>
  </si>
  <si>
    <t>n/a*</t>
  </si>
  <si>
    <t>% of revenue</t>
  </si>
  <si>
    <t>Cash additions to PP&amp;E; USD millions</t>
  </si>
  <si>
    <t>Cash PP&amp;E + modeled lease-financed additions</t>
  </si>
  <si>
    <t>CFO less cash additions to PP&amp;E</t>
  </si>
  <si>
    <t>NOPAT / average invested capital</t>
  </si>
  <si>
    <t>Cash additions to PP&amp;E / revenue</t>
  </si>
  <si>
    <t>Forecast economic investment / revenue</t>
  </si>
  <si>
    <t>MODEL STATUS — LIVE FORMULA CHECKS</t>
  </si>
  <si>
    <t>Cash-flow / balance-sheet cash</t>
  </si>
  <si>
    <t>Lease consistency</t>
  </si>
  <si>
    <t>Scenario / model</t>
  </si>
  <si>
    <t>INVESTMENT RISKS &amp; INTERPRETIVE LIMITATIONS</t>
  </si>
  <si>
    <t>Utilization and monetization</t>
  </si>
  <si>
    <t>Margin sustainability</t>
  </si>
  <si>
    <t>Infrastructure replacement</t>
  </si>
  <si>
    <t>Capital intensity</t>
  </si>
  <si>
    <t>Terminal productivity</t>
  </si>
  <si>
    <t>AI-return limitation</t>
  </si>
  <si>
    <t>Returns depend on sustained demand, deployment utilization and monetization of the expanding AI infrastructure base.</t>
  </si>
  <si>
    <t>Short technology cycles may require replacement investment before modeled economic lives are exhausted.</t>
  </si>
  <si>
    <t>Cash CapEx remains elevated; FY2031 economic investment includes modeled finance-lease-financed asset additions.</t>
  </si>
  <si>
    <t>Company-wide ROIC and incremental ROIC are consolidated diagnostics, not direct measurements of AI-specific project returns.</t>
  </si>
  <si>
    <t>Year</t>
  </si>
  <si>
    <t>Revenue ($bn)</t>
  </si>
  <si>
    <t>Operating income ($bn)</t>
  </si>
  <si>
    <t>CFO ($bn)</t>
  </si>
  <si>
    <t>Cash CapEx ($bn)</t>
  </si>
  <si>
    <t>Cash FCF ($bn)</t>
  </si>
  <si>
    <t>Valuation reference</t>
  </si>
  <si>
    <t>Market</t>
  </si>
  <si>
    <t>Bear DCF</t>
  </si>
  <si>
    <t>Bull DCF</t>
  </si>
  <si>
    <t>Peer P/E</t>
  </si>
  <si>
    <t>* Comparable historical lease additions and economic UFCF are unavailable; no unsupported FY2026 figure is inferred.</t>
  </si>
  <si>
    <t>High consolidated margins may not fully capture mix, pricing and depreciation pressure from accelerated infrastructure investment.</t>
  </si>
  <si>
    <t>Valuation is sensitive to terminal incremental ROIC and the large terminal-value contribution to enterprise value.</t>
  </si>
  <si>
    <t>MICROSOFT CORPORATION (NASDAQ: MSFT)</t>
  </si>
  <si>
    <t>Independent Equity Research &amp; Valuation Model</t>
  </si>
  <si>
    <t>MODEL OVERVIEW</t>
  </si>
  <si>
    <t>Author</t>
  </si>
  <si>
    <t>Research period</t>
  </si>
  <si>
    <t>Projection period</t>
  </si>
  <si>
    <t>Research focus</t>
  </si>
  <si>
    <t>Microsoft Corporation (NASDAQ: MSFT)</t>
  </si>
  <si>
    <t>Eden Kabanga</t>
  </si>
  <si>
    <t>FY2022–FY2026 historical analysis</t>
  </si>
  <si>
    <t>FY2027–FY2031 explicit projections; FY2032–FY2036 DCF normalization</t>
  </si>
  <si>
    <t>Can Microsoft's AI investment generate sufficient returns to justify current capital intensity?</t>
  </si>
  <si>
    <t>MODEL SCOPE</t>
  </si>
  <si>
    <t>Integrated financial statements</t>
  </si>
  <si>
    <t>Bear / Base / Bull scenarios</t>
  </si>
  <si>
    <t>DCF and valuation sensitivities</t>
  </si>
  <si>
    <t>Historical peer P/E cross-check</t>
  </si>
  <si>
    <t>WACC, beta and supporting market data</t>
  </si>
  <si>
    <t>NAVIGATION</t>
  </si>
  <si>
    <t>Dashboard</t>
  </si>
  <si>
    <t>Financial Statements</t>
  </si>
  <si>
    <t>Common Size &amp; Ratios</t>
  </si>
  <si>
    <t>Three-Statement Model</t>
  </si>
  <si>
    <t>DCF</t>
  </si>
  <si>
    <t>Valuation Sensitivities</t>
  </si>
  <si>
    <t>Trading Comps</t>
  </si>
  <si>
    <t>Beta / Supporting Market Data</t>
  </si>
  <si>
    <t>Sources &amp; Definitions</t>
  </si>
  <si>
    <t>MODEL CONVENTIONS</t>
  </si>
  <si>
    <t>Blue font</t>
  </si>
  <si>
    <t>Green font</t>
  </si>
  <si>
    <t>Black font</t>
  </si>
  <si>
    <t>Red font</t>
  </si>
  <si>
    <t>Per-share values</t>
  </si>
  <si>
    <t>Historical periods</t>
  </si>
  <si>
    <t>Forecast periods</t>
  </si>
  <si>
    <t>Hardcoded inputs</t>
  </si>
  <si>
    <t>Cross-sheet formulas</t>
  </si>
  <si>
    <t>Same-sheet formulas / calculations</t>
  </si>
  <si>
    <t>External workbook links, if any</t>
  </si>
  <si>
    <t>USD millions unless noted</t>
  </si>
  <si>
    <t>US dollars per diluted share</t>
  </si>
  <si>
    <t>FY2022–FY2026 actuals</t>
  </si>
  <si>
    <t>FY2027–FY2031 estimates</t>
  </si>
  <si>
    <t>Assumptions!L2; scenario name in Assumptions!M2</t>
  </si>
  <si>
    <t>MODEL STATUS &amp; VALUATION REFERENCES</t>
  </si>
  <si>
    <t>Active DCF value / share</t>
  </si>
  <si>
    <t>Terminal growth (active scenario)</t>
  </si>
  <si>
    <t>Terminal incremental ROIC (active scenario)</t>
  </si>
  <si>
    <t>PRINCIPAL SOURCES</t>
  </si>
  <si>
    <t>Microsoft FY2026 Form 10-K</t>
  </si>
  <si>
    <t>Microsoft earnings materials</t>
  </si>
  <si>
    <t>U.S. Treasury yield curve</t>
  </si>
  <si>
    <t>Damodaran equity risk premium</t>
  </si>
  <si>
    <t>MSFT market price / historical prices</t>
  </si>
  <si>
    <t>Peer company filings and dated market capitalizations</t>
  </si>
  <si>
    <t>Historical financial statements, leases, segments and disclosures</t>
  </si>
  <si>
    <t>Operating context and public company disclosures</t>
  </si>
  <si>
    <t>Risk-free rate; observation dated October 23, 2026</t>
  </si>
  <si>
    <t>Market risk premium; observation dated October 1, 2026</t>
  </si>
  <si>
    <t>$531.33 close on October 27, 2026; Excel STOCKHISTORY for historical observations</t>
  </si>
  <si>
    <t>Alphabet, Amazon, Oracle and Salesforce; conventions documented in Trading Comps</t>
  </si>
  <si>
    <t>IMPORTANT DEFINITIONS</t>
  </si>
  <si>
    <t>Net cash</t>
  </si>
  <si>
    <t>ROIC / incremental ROIC</t>
  </si>
  <si>
    <t>Operating cash flow less cash additions to PP&amp;E</t>
  </si>
  <si>
    <t>Cash plus short-term investments less conventional interest-bearing debt</t>
  </si>
  <si>
    <t>Consolidated return diagnostics; not direct measurements of AI-specific project returns</t>
  </si>
  <si>
    <t>DISCLAIMER</t>
  </si>
  <si>
    <t>This workbook contains independent financial research based on public information and explicitly stated analyst assumptions. Forecasts and valuations involve uncertainty. The material is not personalized investment advice or a recommendation to buy or sell securities.</t>
  </si>
  <si>
    <t>SOURCES &amp; DEFINITIONS</t>
  </si>
  <si>
    <t>Public-source references, valuation conventions and methodological limitations</t>
  </si>
  <si>
    <t>Category</t>
  </si>
  <si>
    <t>Source / reference</t>
  </si>
  <si>
    <t>Observation date / period</t>
  </si>
  <si>
    <t>Workbook use</t>
  </si>
  <si>
    <t>Notes</t>
  </si>
  <si>
    <t>Company filings</t>
  </si>
  <si>
    <t>Primary</t>
  </si>
  <si>
    <t>Public company filing.</t>
  </si>
  <si>
    <t>Company materials</t>
  </si>
  <si>
    <t>FY2026 and subsequent public releases</t>
  </si>
  <si>
    <t>Operating context and disclosed metrics</t>
  </si>
  <si>
    <t>Used only where definitions are consistent with the financial model.</t>
  </si>
  <si>
    <t>Current valuation-date WACC</t>
  </si>
  <si>
    <t>Observation documented on WACC sheet.</t>
  </si>
  <si>
    <t>Equity risk premium</t>
  </si>
  <si>
    <t>Damodaran data</t>
  </si>
  <si>
    <t>MSFT price</t>
  </si>
  <si>
    <t>Market close / workbook source record</t>
  </si>
  <si>
    <t>Reference price of $531.33</t>
  </si>
  <si>
    <t>Current price is preserved as a dated sourced observation.</t>
  </si>
  <si>
    <t>Historical market data</t>
  </si>
  <si>
    <t>Excel STOCKHISTORY</t>
  </si>
  <si>
    <t>Fiscal-year-end observations</t>
  </si>
  <si>
    <t>Beta and historical WACC diagnostics</t>
  </si>
  <si>
    <t>Supporting</t>
  </si>
  <si>
    <t>Requires Microsoft Excel connectivity and recalculation; preserve returned observations if portability is limited.</t>
  </si>
  <si>
    <t>Trading comparables</t>
  </si>
  <si>
    <t>Peer filings and dated market capitalizations</t>
  </si>
  <si>
    <t>Periods documented by peer</t>
  </si>
  <si>
    <t>Indicative</t>
  </si>
  <si>
    <t>Alphabet, Amazon, Oracle and Salesforce; fiscal conventions and limitations appear on Trading Comps.</t>
  </si>
  <si>
    <t>Valuation model</t>
  </si>
  <si>
    <t>Integrated model and DCF</t>
  </si>
  <si>
    <t>October 27, 2026 reference</t>
  </si>
  <si>
    <t>Bear/Base/Bull DCF</t>
  </si>
  <si>
    <t>Definition</t>
  </si>
  <si>
    <t>Workbook convention</t>
  </si>
  <si>
    <t>Formula / treatment</t>
  </si>
  <si>
    <t>Historical availability</t>
  </si>
  <si>
    <t>Forecast availability</t>
  </si>
  <si>
    <t>Interpretive limitation</t>
  </si>
  <si>
    <t>Invested capital</t>
  </si>
  <si>
    <t>Equity + conventional interest-bearing debt − cash − short-term investments</t>
  </si>
  <si>
    <t>Period ROIC uses average invested capital</t>
  </si>
  <si>
    <t>Yes</t>
  </si>
  <si>
    <t>Excludes finance-lease liabilities from the conventional-debt definition unless explicitly stated.</t>
  </si>
  <si>
    <t>NOPAT uses the applicable effective tax rate</t>
  </si>
  <si>
    <t>Consolidated company measure, not AI-specific ROIC.</t>
  </si>
  <si>
    <t>Change in NOPAT / change in invested capital</t>
  </si>
  <si>
    <t>Blank when the denominator is too small or unsupported</t>
  </si>
  <si>
    <t>Approximate diagnostic; can be volatile.</t>
  </si>
  <si>
    <t>Cash + short-term investments − conventional debt</t>
  </si>
  <si>
    <t>FY2026 reconciles to approximately $36.549bn</t>
  </si>
  <si>
    <t>Alternative lease-inclusive measures must be separately labeled.</t>
  </si>
  <si>
    <t>CFO − cash additions to PP&amp;E</t>
  </si>
  <si>
    <t>Uses statement cash flows</t>
  </si>
  <si>
    <t>Not interchangeable with economic UFCF.</t>
  </si>
  <si>
    <t>Unlevered operating cash flow after economic reinvestment</t>
  </si>
  <si>
    <t>Includes modeled cash PP&amp;E and finance-lease-financed asset additions</t>
  </si>
  <si>
    <t>No comparable historical series</t>
  </si>
  <si>
    <t>FY2027–FY2031</t>
  </si>
  <si>
    <t>Cash PP&amp;E additions + modeled finance-lease asset additions, divided by revenue</t>
  </si>
  <si>
    <t>Forecast-only where comparable lease additions exist</t>
  </si>
  <si>
    <t>FY2031 is approximately 30.6%.</t>
  </si>
  <si>
    <t>Trading comps classification</t>
  </si>
  <si>
    <t>Historical peer P/E is indicative; cash FCF yield is diagnostic</t>
  </si>
  <si>
    <t>EV/EBITDA and EV/FCF implied prices are excluded</t>
  </si>
  <si>
    <t>Peer-period dependent</t>
  </si>
  <si>
    <t>Cross-check only</t>
  </si>
  <si>
    <t>D&amp;A inconsistency and after-interest FCF prevent equivalent published price-target treatment.</t>
  </si>
  <si>
    <t>Assumptions!L2</t>
  </si>
  <si>
    <t>1 = Bear; 2 = Base; 3 = Bull</t>
  </si>
  <si>
    <t>Market-data portability</t>
  </si>
  <si>
    <t>STOCKHISTORY is Excel-specific</t>
  </si>
  <si>
    <t>Recalculate in connected desktop Excel</t>
  </si>
  <si>
    <t>Historical observations preserved</t>
  </si>
  <si>
    <t>Manual verification may be required in restricted environments.</t>
  </si>
  <si>
    <t>VALUATION METHOD CLASSIFICATION</t>
  </si>
  <si>
    <t>Published use</t>
  </si>
  <si>
    <t>Rationale</t>
  </si>
  <si>
    <t>Discounted cash flow</t>
  </si>
  <si>
    <t>Primary intrinsic valuation</t>
  </si>
  <si>
    <t>Historical peer P/E</t>
  </si>
  <si>
    <t>Cross-check</t>
  </si>
  <si>
    <t>Comparable GAAP earnings and dated market capitalizations; median approximately 28.13x.</t>
  </si>
  <si>
    <t>Diagnostic</t>
  </si>
  <si>
    <t>Supplementary only</t>
  </si>
  <si>
    <t>Useful for cash conversion context, not enterprise-value equivalence.</t>
  </si>
  <si>
    <t>EV / EBITDA implied share price</t>
  </si>
  <si>
    <t>Not a published target</t>
  </si>
  <si>
    <t>Peer D&amp;A definitions are not consistently comparable.</t>
  </si>
  <si>
    <t>EV / cash FCF implied share price</t>
  </si>
  <si>
    <t>Cash FCF is after interest and is not an enterprise cash-flow measure.</t>
  </si>
  <si>
    <t>Finance lease additions ($m; independent of operating leases)</t>
  </si>
  <si>
    <t>Model controls / limitations</t>
  </si>
  <si>
    <t>Rf 5.00% U.S. Treasury 10Y 23-Oct; ERP 3.70% Damodaran 01-Oct; beta from Beta!J99</t>
  </si>
  <si>
    <t>Forecasted</t>
  </si>
  <si>
    <t>Other operating liabilities (aggregation of long-term / current liabilities) used for forecast</t>
  </si>
  <si>
    <t>Ending Accumulated Depreciation</t>
  </si>
  <si>
    <t>All USD millions unless indicated otherwise</t>
  </si>
  <si>
    <t xml:space="preserve">SUMMARY OUTPUT </t>
  </si>
  <si>
    <t>DATED, INDEPENDENTLY RECONCILED SCENARIO SNAPSHOTS</t>
  </si>
  <si>
    <t>Snapshot basis</t>
  </si>
  <si>
    <t>Hardcoded scenario values are dated, independently reconciled snapshots.</t>
  </si>
  <si>
    <t>Snapshot date</t>
  </si>
  <si>
    <t>Active DCF remains live-linked to the scenario selector.</t>
  </si>
  <si>
    <t>Analyst terminal-growth assumption (2.5%); not Microsoft management guidance.</t>
  </si>
  <si>
    <t>Valuation reference date: October 27, 2026</t>
  </si>
  <si>
    <t>Unlevered operating cash flow after economic reinvestment, including modeled lease-financed asset additions</t>
  </si>
  <si>
    <t>Scenario outputs from the integrated model.</t>
  </si>
  <si>
    <t>DCF methodology; lease additions are not double counted.</t>
  </si>
  <si>
    <t>Active scenario is controlled by Assumptions!L2.</t>
  </si>
  <si>
    <t>Integrated model with Bear/Base/Bull scenarios.</t>
  </si>
  <si>
    <t>Unlevered cash flow after economic reinvestment</t>
  </si>
  <si>
    <t>Beta from the historical regression; FY2026 debt cost uses the documented expense-based proxy.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</si>
</sst>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0;\(#,##0\);\-;@"/>
    <numFmt numFmtId="165" formatCode="0.0%;\(0.0%\);\-;@"/>
    <numFmt numFmtId="166" formatCode="0.0%"/>
    <numFmt numFmtId="167" formatCode="0.00\x"/>
    <numFmt numFmtId="168" formatCode="0.0\x"/>
    <numFmt numFmtId="169" formatCode="0.0&quot; pp&quot;;[Red]\(0.0&quot; pp&quot;\);\-"/>
    <numFmt numFmtId="170" formatCode="0.0&quot;x&quot;"/>
    <numFmt numFmtId="171" formatCode="\$#,##0.00"/>
    <numFmt numFmtId="172" formatCode="&quot;$&quot;#,##0.00"/>
    <numFmt numFmtId="173" formatCode="&quot;$&quot;0.00;\(&quot;$&quot;0.00\);\-"/>
    <numFmt numFmtId="174" formatCode="&quot;$&quot;0.00"/>
    <numFmt numFmtId="175" formatCode="0.00\x;\(0.00\x\);\-"/>
    <numFmt numFmtId="176" formatCode="0.0&quot; pp&quot;;\(0.0&quot; pp&quot;\);\-"/>
    <numFmt numFmtId="177" formatCode="\$#,##0.00;\(\$#,##0.00\)"/>
    <numFmt numFmtId="178" formatCode="&quot;$&quot;#,##0.00;\(&quot;$&quot;#,##0.00\)"/>
    <numFmt numFmtId="179" formatCode="&quot;$&quot;#,##0.00;\(&quot;$&quot;#,##0.00\);\-;@"/>
    <numFmt numFmtId="180" formatCode="#,##0.00;\(#,##0.00\);\-;@"/>
    <numFmt numFmtId="181" formatCode="#,##0.000;\(#,##0.000\);\-;@"/>
  </numFmts>
  <fonts count="77" x14ac:knownFonts="1">
    <font>
      <sz val="11"/>
      <color theme="1"/>
      <name val="Aptos Narrow"/>
    </font>
    <font>
      <b/>
      <sz val="11"/>
      <color theme="1"/>
      <name val="Aptos Narrow"/>
      <family val="2"/>
    </font>
    <font>
      <sz val="11"/>
      <color indexed="8"/>
      <name val="Calibri"/>
      <family val="2"/>
    </font>
    <font>
      <b/>
      <sz val="11"/>
      <color indexed="8"/>
      <name val="Calibri"/>
      <family val="2"/>
    </font>
    <font>
      <sz val="11"/>
      <color theme="3" tint="0.249977111117893"/>
      <name val="Aptos Narrow"/>
      <family val="2"/>
    </font>
    <font>
      <sz val="10"/>
      <color theme="1"/>
      <name val="Aptos"/>
      <family val="2"/>
    </font>
    <font>
      <sz val="10"/>
      <color theme="1"/>
      <name val="Arial"/>
      <family val="2"/>
    </font>
    <font>
      <sz val="11"/>
      <color indexed="8"/>
      <name val="Calibri"/>
      <family val="2"/>
    </font>
    <font>
      <b/>
      <sz val="11"/>
      <color rgb="FF000000"/>
      <name val="Aptos Narrow"/>
      <family val="2"/>
    </font>
    <font>
      <b/>
      <sz val="11"/>
      <color rgb="FF000000"/>
      <name val="Calibri"/>
      <family val="2"/>
    </font>
    <font>
      <sz val="11"/>
      <color rgb="FF000000"/>
      <name val="Aptos Narrow"/>
      <family val="2"/>
    </font>
    <font>
      <sz val="11"/>
      <color rgb="FF000000"/>
      <name val="Calibri"/>
      <family val="2"/>
    </font>
    <font>
      <sz val="11"/>
      <color rgb="FF0000FF"/>
      <name val="Aptos Narrow"/>
      <family val="2"/>
    </font>
    <font>
      <i/>
      <sz val="8"/>
      <color rgb="FF666666"/>
      <name val="Aptos Narrow"/>
      <family val="2"/>
    </font>
    <font>
      <i/>
      <sz val="8"/>
      <color rgb="FF0000FF"/>
      <name val="Aptos Narrow"/>
      <family val="2"/>
    </font>
    <font>
      <i/>
      <sz val="8"/>
      <color rgb="FF666666"/>
      <name val="Arial"/>
      <family val="2"/>
    </font>
    <font>
      <i/>
      <sz val="8"/>
      <color rgb="FF000000"/>
      <name val="Aptos Narrow"/>
      <family val="2"/>
    </font>
    <font>
      <b/>
      <sz val="11"/>
      <color rgb="FFFFFFFF"/>
      <name val="Calibri"/>
      <family val="2"/>
    </font>
    <font>
      <i/>
      <sz val="11"/>
      <color theme="1"/>
      <name val="Aptos Narrow"/>
      <family val="2"/>
    </font>
    <font>
      <sz val="11"/>
      <color theme="1"/>
      <name val="Aptos Narrow"/>
      <family val="2"/>
    </font>
    <font>
      <b/>
      <sz val="11"/>
      <color theme="1"/>
      <name val="Aptos Narrow"/>
      <family val="2"/>
    </font>
    <font>
      <b/>
      <sz val="11"/>
      <color theme="1"/>
      <name val="Aptos Narrow"/>
      <family val="2"/>
    </font>
    <font>
      <sz val="11"/>
      <name val="Aptos Narrow"/>
      <family val="2"/>
    </font>
    <font>
      <b/>
      <sz val="11"/>
      <name val="Aptos Narrow"/>
      <family val="2"/>
    </font>
    <font>
      <sz val="11"/>
      <color theme="3" tint="0.49992370372631001"/>
      <name val="Aptos Narrow"/>
      <family val="2"/>
    </font>
    <font>
      <b/>
      <sz val="15"/>
      <color theme="1"/>
      <name val="Aptos Narrow"/>
      <family val="2"/>
    </font>
    <font>
      <b/>
      <sz val="12"/>
      <color theme="1"/>
      <name val="Aptos Narrow"/>
      <family val="2"/>
    </font>
    <font>
      <sz val="11"/>
      <name val="Aptos Narrow"/>
      <family val="2"/>
    </font>
    <font>
      <b/>
      <sz val="11"/>
      <name val="Aptos Narrow"/>
      <family val="2"/>
    </font>
    <font>
      <i/>
      <sz val="11"/>
      <color rgb="FF7F7F7F"/>
      <name val="Aptos Narrow"/>
      <family val="2"/>
    </font>
    <font>
      <sz val="11"/>
      <color theme="1"/>
      <name val="Aptos Narrow"/>
      <family val="2"/>
    </font>
    <font>
      <b/>
      <sz val="11"/>
      <color theme="1"/>
      <name val="Aptos Narrow"/>
      <family val="2"/>
    </font>
    <font>
      <b/>
      <sz val="11"/>
      <color theme="3"/>
      <name val="Aptos Narrow"/>
      <family val="2"/>
    </font>
    <font>
      <b/>
      <sz val="14"/>
      <color theme="1"/>
      <name val="Aptos Narrow"/>
      <family val="2"/>
    </font>
    <font>
      <b/>
      <sz val="11"/>
      <color rgb="FFFFFFFF"/>
      <name val="Aptos Narrow"/>
      <family val="2"/>
    </font>
    <font>
      <sz val="11"/>
      <color rgb="FF0070C0"/>
      <name val="Aptos Narrow"/>
      <family val="2"/>
    </font>
    <font>
      <sz val="11"/>
      <color rgb="FF008000"/>
      <name val="Aptos Narrow"/>
      <family val="2"/>
    </font>
    <font>
      <sz val="9"/>
      <color indexed="81"/>
      <name val="Tahoma"/>
      <family val="2"/>
    </font>
    <font>
      <b/>
      <sz val="9"/>
      <color indexed="81"/>
      <name val="Tahoma"/>
      <family val="2"/>
    </font>
    <font>
      <i/>
      <sz val="11"/>
      <color rgb="FF7F7F7F"/>
      <name val="Aptos Narrow"/>
      <family val="2"/>
    </font>
    <font>
      <b/>
      <sz val="11"/>
      <color rgb="FFFFFFFF"/>
      <name val="Aptos Narrow"/>
      <family val="2"/>
    </font>
    <font>
      <b/>
      <sz val="11"/>
      <color rgb="FF000000"/>
      <name val="Aptos Narrow"/>
      <family val="2"/>
    </font>
    <font>
      <b/>
      <sz val="11"/>
      <color rgb="FF008000"/>
      <name val="Aptos Narrow"/>
      <family val="2"/>
    </font>
    <font>
      <sz val="11"/>
      <color theme="1"/>
      <name val="Arial"/>
      <family val="2"/>
    </font>
    <font>
      <b/>
      <sz val="11"/>
      <color rgb="FFFFFFFF"/>
      <name val="Arial"/>
      <family val="2"/>
    </font>
    <font>
      <b/>
      <sz val="10"/>
      <color rgb="FFFFFFFF"/>
      <name val="Arial"/>
      <family val="2"/>
    </font>
    <font>
      <b/>
      <sz val="15"/>
      <color rgb="FFFFFFFF"/>
      <name val="Arial"/>
      <family val="2"/>
    </font>
    <font>
      <sz val="10"/>
      <color rgb="FF595959"/>
      <name val="Arial"/>
      <family val="2"/>
    </font>
    <font>
      <b/>
      <sz val="10"/>
      <color theme="1"/>
      <name val="Arial"/>
      <family val="2"/>
    </font>
    <font>
      <sz val="11"/>
      <color rgb="FF000000"/>
      <name val="Aptos Narrow"/>
      <family val="2"/>
    </font>
    <font>
      <sz val="11"/>
      <color rgb="FF008000"/>
      <name val="Calibri"/>
      <family val="2"/>
    </font>
    <font>
      <u/>
      <sz val="11"/>
      <color theme="10"/>
      <name val="Aptos Narrow"/>
      <family val="2"/>
    </font>
    <font>
      <sz val="11"/>
      <color rgb="FF000000"/>
      <name val="Arial"/>
      <family val="2"/>
    </font>
    <font>
      <sz val="11"/>
      <color rgb="FF008000"/>
      <name val="Arial"/>
      <family val="2"/>
    </font>
    <font>
      <i/>
      <sz val="9"/>
      <color theme="1"/>
      <name val="Arial"/>
      <family val="2"/>
    </font>
    <font>
      <b/>
      <sz val="16"/>
      <color rgb="FFFFFFFF"/>
      <name val="Arial"/>
      <family val="2"/>
    </font>
    <font>
      <sz val="11"/>
      <color rgb="FF404040"/>
      <name val="Arial"/>
      <family val="2"/>
    </font>
    <font>
      <i/>
      <sz val="10"/>
      <color rgb="FF1E4078"/>
      <name val="Arial"/>
      <family val="2"/>
    </font>
    <font>
      <sz val="10"/>
      <color rgb="FF008000"/>
      <name val="Arial"/>
      <family val="2"/>
    </font>
    <font>
      <sz val="10"/>
      <color rgb="FF0070C0"/>
      <name val="Arial"/>
      <family val="2"/>
    </font>
    <font>
      <sz val="10"/>
      <color rgb="FF404040"/>
      <name val="Arial"/>
      <family val="2"/>
    </font>
    <font>
      <b/>
      <sz val="10"/>
      <color rgb="FF008000"/>
      <name val="Arial"/>
      <family val="2"/>
    </font>
    <font>
      <b/>
      <sz val="18"/>
      <color rgb="FFFFFFFF"/>
      <name val="Arial"/>
      <family val="2"/>
    </font>
    <font>
      <b/>
      <sz val="13"/>
      <color rgb="FF1E4078"/>
      <name val="Arial"/>
      <family val="2"/>
    </font>
    <font>
      <i/>
      <sz val="10"/>
      <color rgb="FF595959"/>
      <name val="Arial"/>
      <family val="2"/>
    </font>
    <font>
      <sz val="10"/>
      <color rgb="FF000000"/>
      <name val="Arial"/>
      <family val="2"/>
    </font>
    <font>
      <sz val="10"/>
      <color rgb="FFC00000"/>
      <name val="Arial"/>
      <family val="2"/>
    </font>
    <font>
      <b/>
      <u/>
      <sz val="15"/>
      <color rgb="FF1E4078"/>
      <name val="Arial"/>
      <family val="2"/>
    </font>
    <font>
      <i/>
      <sz val="8"/>
      <color rgb="FF0070C0"/>
      <name val="Aptos Narrow"/>
      <family val="2"/>
    </font>
    <font>
      <b/>
      <sz val="11"/>
      <color rgb="FF0070C0"/>
      <name val="Aptos Narrow"/>
      <family val="2"/>
    </font>
    <font>
      <sz val="11"/>
      <color rgb="FF0070C0"/>
      <name val="Calibri"/>
      <family val="2"/>
    </font>
    <font>
      <b/>
      <sz val="10"/>
      <color rgb="FF000000"/>
      <name val="Arial"/>
      <family val="2"/>
    </font>
    <font>
      <sz val="11"/>
      <color theme="3" tint="0.499984740745262"/>
      <name val="Aptos Narrow"/>
      <family val="2"/>
    </font>
    <font>
      <b/>
      <u/>
      <sz val="10"/>
      <color rgb="FF008000"/>
      <name val="Arial"/>
      <family val="2"/>
    </font>
    <font>
      <b/>
      <u/>
      <sz val="16"/>
      <color rgb="FF008000"/>
      <name val="Arial"/>
      <family val="2"/>
    </font>
    <font>
      <b/>
      <u/>
      <sz val="11"/>
      <color rgb="FF008000"/>
      <name val="Aptos Narrow"/>
      <family val="2"/>
    </font>
    <font>
      <b/>
      <sz val="11"/>
      <color rgb="FF008000"/>
      <name val="Calibri"/>
      <family val="2"/>
    </font>
  </fonts>
  <fills count="26">
    <fill>
      <patternFill patternType="none"/>
    </fill>
    <fill>
      <patternFill patternType="gray125"/>
    </fill>
    <fill>
      <patternFill patternType="solid">
        <fgColor theme="2" tint="-0.249977111117893"/>
        <bgColor indexed="65"/>
      </patternFill>
    </fill>
    <fill>
      <patternFill patternType="solid">
        <fgColor theme="7" tint="0.59993285927915285"/>
        <bgColor indexed="65"/>
      </patternFill>
    </fill>
    <fill>
      <patternFill patternType="solid">
        <fgColor theme="7" tint="0.79992065187536243"/>
        <bgColor indexed="65"/>
      </patternFill>
    </fill>
    <fill>
      <patternFill patternType="solid">
        <fgColor theme="2" tint="-9.9978637043366805E-2"/>
        <bgColor indexed="65"/>
      </patternFill>
    </fill>
    <fill>
      <patternFill patternType="solid">
        <fgColor rgb="FFD9EAF7"/>
      </patternFill>
    </fill>
    <fill>
      <patternFill patternType="solid">
        <fgColor rgb="FFE2F0D9"/>
      </patternFill>
    </fill>
    <fill>
      <patternFill patternType="solid">
        <fgColor rgb="FFF2F2F2"/>
      </patternFill>
    </fill>
    <fill>
      <patternFill patternType="solid">
        <fgColor rgb="FF1F4E78"/>
      </patternFill>
    </fill>
    <fill>
      <patternFill patternType="solid">
        <fgColor theme="2" tint="-0.249977111117893"/>
        <bgColor indexed="65"/>
      </patternFill>
    </fill>
    <fill>
      <patternFill patternType="solid">
        <fgColor theme="2" tint="-9.9978637043366805E-2"/>
        <bgColor indexed="65"/>
      </patternFill>
    </fill>
    <fill>
      <patternFill patternType="solid">
        <fgColor theme="7" tint="0.79985961485641044"/>
        <bgColor indexed="65"/>
      </patternFill>
    </fill>
    <fill>
      <patternFill patternType="solid">
        <fgColor theme="4" tint="0.59993285927915285"/>
        <bgColor indexed="65"/>
      </patternFill>
    </fill>
    <fill>
      <patternFill patternType="solid">
        <fgColor rgb="FF92D050"/>
      </patternFill>
    </fill>
    <fill>
      <patternFill patternType="solid">
        <fgColor rgb="FFFCE4D6"/>
      </patternFill>
    </fill>
    <fill>
      <patternFill patternType="solid">
        <fgColor rgb="FF172B4D"/>
      </patternFill>
    </fill>
    <fill>
      <patternFill patternType="solid">
        <fgColor rgb="FF087E8B"/>
      </patternFill>
    </fill>
    <fill>
      <patternFill patternType="solid">
        <fgColor rgb="FF17365D"/>
        <bgColor indexed="64"/>
      </patternFill>
    </fill>
    <fill>
      <patternFill patternType="solid">
        <fgColor rgb="FF1D2330"/>
        <bgColor indexed="64"/>
      </patternFill>
    </fill>
    <fill>
      <patternFill patternType="solid">
        <fgColor rgb="FFE2E3E5"/>
        <bgColor indexed="64"/>
      </patternFill>
    </fill>
    <fill>
      <patternFill patternType="solid">
        <fgColor rgb="FFFFFFFF"/>
        <bgColor indexed="64"/>
      </patternFill>
    </fill>
    <fill>
      <patternFill patternType="solid">
        <fgColor rgb="FF1F4E78"/>
        <bgColor indexed="64"/>
      </patternFill>
    </fill>
    <fill>
      <patternFill patternType="solid">
        <fgColor rgb="FFD9E2F3"/>
        <bgColor indexed="64"/>
      </patternFill>
    </fill>
    <fill>
      <patternFill patternType="solid">
        <fgColor rgb="FF1E4078"/>
        <bgColor indexed="64"/>
      </patternFill>
    </fill>
    <fill>
      <patternFill patternType="solid">
        <fgColor rgb="FFF2F2F2"/>
        <bgColor indexed="64"/>
      </patternFill>
    </fill>
  </fills>
  <borders count="24">
    <border>
      <left/>
      <right/>
      <top/>
      <bottom/>
      <diagonal/>
    </border>
    <border>
      <left/>
      <right/>
      <top style="thin">
        <color rgb="FF000000"/>
      </top>
      <bottom/>
      <diagonal/>
    </border>
    <border>
      <left/>
      <right/>
      <top style="thin">
        <color rgb="FF000000"/>
      </top>
      <bottom style="medium">
        <color rgb="FF000000"/>
      </bottom>
      <diagonal/>
    </border>
    <border>
      <left/>
      <right/>
      <top style="thin">
        <color rgb="FFA6A6A6"/>
      </top>
      <bottom/>
      <diagonal/>
    </border>
    <border>
      <left/>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bottom style="thin">
        <color auto="1"/>
      </bottom>
      <diagonal/>
    </border>
    <border>
      <left/>
      <right/>
      <top style="thin">
        <color auto="1"/>
      </top>
      <bottom/>
      <diagonal/>
    </border>
    <border>
      <left/>
      <right/>
      <top/>
      <bottom/>
      <diagonal/>
    </border>
    <border>
      <left/>
      <right/>
      <top/>
      <bottom style="thick">
        <color rgb="FF1D2330"/>
      </bottom>
      <diagonal/>
    </border>
    <border>
      <left/>
      <right/>
      <top style="thick">
        <color rgb="FF1D2330"/>
      </top>
      <bottom style="thin">
        <color rgb="FF808080"/>
      </bottom>
      <diagonal/>
    </border>
    <border>
      <left/>
      <right/>
      <top style="thick">
        <color rgb="FF1D2330"/>
      </top>
      <bottom/>
      <diagonal/>
    </border>
    <border>
      <left/>
      <right/>
      <top style="thin">
        <color rgb="FF808080"/>
      </top>
      <bottom/>
      <diagonal/>
    </border>
    <border>
      <left/>
      <right/>
      <top/>
      <bottom style="thin">
        <color rgb="FFD9D9D9"/>
      </bottom>
      <diagonal/>
    </border>
    <border>
      <left style="thin">
        <color rgb="FFD9D9D9"/>
      </left>
      <right/>
      <top style="thin">
        <color rgb="FF808080"/>
      </top>
      <bottom/>
      <diagonal/>
    </border>
    <border>
      <left style="thin">
        <color rgb="FFD9D9D9"/>
      </left>
      <right/>
      <top/>
      <bottom/>
      <diagonal/>
    </border>
    <border>
      <left style="thin">
        <color rgb="FFD9D9D9"/>
      </left>
      <right/>
      <top/>
      <bottom style="thin">
        <color rgb="FFD9D9D9"/>
      </bottom>
      <diagonal/>
    </border>
    <border>
      <left/>
      <right style="thin">
        <color rgb="FFD9D9D9"/>
      </right>
      <top style="thin">
        <color rgb="FF808080"/>
      </top>
      <bottom/>
      <diagonal/>
    </border>
    <border>
      <left/>
      <right style="thin">
        <color rgb="FFD9D9D9"/>
      </right>
      <top/>
      <bottom/>
      <diagonal/>
    </border>
    <border>
      <left/>
      <right style="thin">
        <color rgb="FFD9D9D9"/>
      </right>
      <top/>
      <bottom style="thin">
        <color rgb="FFD9D9D9"/>
      </bottom>
      <diagonal/>
    </border>
    <border>
      <left/>
      <right/>
      <top style="medium">
        <color rgb="FF000000"/>
      </top>
      <bottom/>
      <diagonal/>
    </border>
    <border>
      <left/>
      <right/>
      <top/>
      <bottom style="medium">
        <color rgb="FF000000"/>
      </bottom>
      <diagonal/>
    </border>
  </borders>
  <cellStyleXfs count="4">
    <xf numFmtId="0" fontId="0" fillId="0" borderId="0"/>
    <xf numFmtId="0" fontId="2" fillId="0" borderId="0"/>
    <xf numFmtId="9" fontId="19" fillId="0" borderId="0"/>
    <xf numFmtId="0" fontId="51" fillId="0" borderId="0" applyNumberFormat="0" applyFill="0" applyBorder="0" applyAlignment="0" applyProtection="0"/>
  </cellStyleXfs>
  <cellXfs count="383">
    <xf numFmtId="0" fontId="0" fillId="0" borderId="0" xfId="0"/>
    <xf numFmtId="0" fontId="0" fillId="0" borderId="0" xfId="0" applyAlignment="1">
      <alignment horizontal="left"/>
    </xf>
    <xf numFmtId="164" fontId="4" fillId="0" borderId="0" xfId="0" applyNumberFormat="1" applyFont="1" applyAlignment="1">
      <alignment horizontal="right"/>
    </xf>
    <xf numFmtId="164" fontId="4" fillId="0" borderId="0" xfId="0" applyNumberFormat="1" applyFont="1"/>
    <xf numFmtId="164" fontId="0" fillId="0" borderId="0" xfId="0" applyNumberFormat="1"/>
    <xf numFmtId="0" fontId="6" fillId="0" borderId="0" xfId="0" applyFont="1"/>
    <xf numFmtId="164" fontId="8" fillId="0" borderId="0" xfId="0" applyNumberFormat="1" applyFont="1" applyAlignment="1">
      <alignment horizontal="right"/>
    </xf>
    <xf numFmtId="164" fontId="10" fillId="0" borderId="0" xfId="0" applyNumberFormat="1" applyFont="1"/>
    <xf numFmtId="164" fontId="8" fillId="0" borderId="1" xfId="0" applyNumberFormat="1" applyFont="1" applyBorder="1" applyAlignment="1">
      <alignment horizontal="right"/>
    </xf>
    <xf numFmtId="164" fontId="9" fillId="0" borderId="1" xfId="0" applyNumberFormat="1" applyFont="1" applyBorder="1" applyAlignment="1">
      <alignment horizontal="right"/>
    </xf>
    <xf numFmtId="164" fontId="8" fillId="0" borderId="1" xfId="0" applyNumberFormat="1" applyFont="1" applyBorder="1"/>
    <xf numFmtId="164" fontId="8" fillId="0" borderId="2" xfId="0" applyNumberFormat="1" applyFont="1" applyBorder="1" applyAlignment="1">
      <alignment horizontal="right"/>
    </xf>
    <xf numFmtId="164" fontId="9" fillId="0" borderId="2" xfId="0" applyNumberFormat="1" applyFont="1" applyBorder="1" applyAlignment="1">
      <alignment horizontal="right"/>
    </xf>
    <xf numFmtId="164" fontId="8" fillId="0" borderId="2" xfId="0" applyNumberFormat="1" applyFont="1" applyBorder="1"/>
    <xf numFmtId="164" fontId="12" fillId="0" borderId="0" xfId="0" applyNumberFormat="1" applyFont="1"/>
    <xf numFmtId="165" fontId="12" fillId="0" borderId="0" xfId="0" applyNumberFormat="1" applyFont="1"/>
    <xf numFmtId="164" fontId="1" fillId="6" borderId="0" xfId="0" applyNumberFormat="1" applyFont="1" applyFill="1"/>
    <xf numFmtId="165" fontId="14" fillId="0" borderId="0" xfId="0" applyNumberFormat="1" applyFont="1" applyAlignment="1">
      <alignment wrapText="1"/>
    </xf>
    <xf numFmtId="164" fontId="1" fillId="0" borderId="0" xfId="0" applyNumberFormat="1" applyFont="1"/>
    <xf numFmtId="165" fontId="10" fillId="0" borderId="0" xfId="0" applyNumberFormat="1" applyFont="1"/>
    <xf numFmtId="165" fontId="16" fillId="0" borderId="0" xfId="0" applyNumberFormat="1" applyFont="1" applyAlignment="1">
      <alignment wrapText="1"/>
    </xf>
    <xf numFmtId="164" fontId="0" fillId="0" borderId="0" xfId="0" applyNumberFormat="1" applyAlignment="1">
      <alignment horizontal="right"/>
    </xf>
    <xf numFmtId="167" fontId="10" fillId="0" borderId="0" xfId="0" applyNumberFormat="1" applyFont="1" applyAlignment="1">
      <alignment horizontal="right" vertical="center"/>
    </xf>
    <xf numFmtId="165" fontId="0" fillId="0" borderId="0" xfId="0" applyNumberFormat="1"/>
    <xf numFmtId="0" fontId="20" fillId="0" borderId="0" xfId="0" applyFont="1" applyAlignment="1">
      <alignment horizontal="center"/>
    </xf>
    <xf numFmtId="165" fontId="24" fillId="0" borderId="0" xfId="2" applyNumberFormat="1" applyFont="1"/>
    <xf numFmtId="164" fontId="24" fillId="0" borderId="0" xfId="0" applyNumberFormat="1" applyFont="1"/>
    <xf numFmtId="164" fontId="1" fillId="0" borderId="7" xfId="0" applyNumberFormat="1" applyFont="1" applyBorder="1"/>
    <xf numFmtId="164" fontId="1" fillId="0" borderId="0" xfId="0" applyNumberFormat="1" applyFont="1" applyAlignment="1">
      <alignment horizontal="right"/>
    </xf>
    <xf numFmtId="0" fontId="29" fillId="0" borderId="0" xfId="0" applyFont="1"/>
    <xf numFmtId="0" fontId="30" fillId="0" borderId="0" xfId="0" applyFont="1"/>
    <xf numFmtId="0" fontId="31" fillId="0" borderId="0" xfId="0" applyFont="1"/>
    <xf numFmtId="171" fontId="30" fillId="0" borderId="0" xfId="0" applyNumberFormat="1" applyFont="1"/>
    <xf numFmtId="0" fontId="31" fillId="0" borderId="0" xfId="0" applyFont="1" applyAlignment="1">
      <alignment horizontal="right"/>
    </xf>
    <xf numFmtId="166" fontId="31" fillId="0" borderId="0" xfId="0" applyNumberFormat="1" applyFont="1"/>
    <xf numFmtId="10" fontId="31" fillId="0" borderId="0" xfId="0" applyNumberFormat="1" applyFont="1"/>
    <xf numFmtId="9" fontId="32" fillId="0" borderId="0" xfId="0" applyNumberFormat="1" applyFont="1"/>
    <xf numFmtId="1" fontId="35" fillId="0" borderId="0" xfId="0" applyNumberFormat="1" applyFont="1"/>
    <xf numFmtId="168" fontId="6" fillId="0" borderId="0" xfId="0" applyNumberFormat="1" applyFont="1" applyAlignment="1">
      <alignment horizontal="right" vertical="center"/>
    </xf>
    <xf numFmtId="173" fontId="6" fillId="0" borderId="0" xfId="0" applyNumberFormat="1" applyFont="1" applyAlignment="1">
      <alignment horizontal="right" vertical="center"/>
    </xf>
    <xf numFmtId="173" fontId="6" fillId="0" borderId="0" xfId="0" applyNumberFormat="1" applyFont="1" applyAlignment="1">
      <alignment wrapText="1"/>
    </xf>
    <xf numFmtId="164" fontId="36" fillId="0" borderId="0" xfId="0" applyNumberFormat="1" applyFont="1"/>
    <xf numFmtId="165" fontId="36" fillId="0" borderId="0" xfId="0" applyNumberFormat="1" applyFont="1" applyAlignment="1">
      <alignment horizontal="right"/>
    </xf>
    <xf numFmtId="165" fontId="50" fillId="0" borderId="0" xfId="0" applyNumberFormat="1" applyFont="1" applyAlignment="1">
      <alignment horizontal="right"/>
    </xf>
    <xf numFmtId="165" fontId="36" fillId="0" borderId="0" xfId="0" applyNumberFormat="1" applyFont="1"/>
    <xf numFmtId="167" fontId="36" fillId="0" borderId="0" xfId="0" applyNumberFormat="1" applyFont="1" applyAlignment="1">
      <alignment horizontal="right" vertical="center"/>
    </xf>
    <xf numFmtId="167" fontId="50" fillId="0" borderId="0" xfId="0" applyNumberFormat="1" applyFont="1" applyAlignment="1">
      <alignment horizontal="right" vertical="center"/>
    </xf>
    <xf numFmtId="174" fontId="58" fillId="0" borderId="0" xfId="0" applyNumberFormat="1" applyFont="1"/>
    <xf numFmtId="167" fontId="58" fillId="0" borderId="0" xfId="0" applyNumberFormat="1" applyFont="1"/>
    <xf numFmtId="174" fontId="59" fillId="0" borderId="0" xfId="0" applyNumberFormat="1" applyFont="1"/>
    <xf numFmtId="164" fontId="0" fillId="0" borderId="10" xfId="0" applyNumberFormat="1" applyBorder="1" applyAlignment="1">
      <alignment horizontal="right"/>
    </xf>
    <xf numFmtId="164" fontId="42" fillId="0" borderId="7" xfId="0" applyNumberFormat="1" applyFont="1" applyBorder="1"/>
    <xf numFmtId="0" fontId="1" fillId="0" borderId="0" xfId="0" applyFont="1" applyAlignment="1">
      <alignment horizontal="centerContinuous"/>
    </xf>
    <xf numFmtId="0" fontId="0" fillId="0" borderId="0" xfId="0" applyAlignment="1">
      <alignment horizontal="centerContinuous"/>
    </xf>
    <xf numFmtId="0" fontId="1" fillId="0" borderId="0" xfId="0" applyFont="1"/>
    <xf numFmtId="0" fontId="1" fillId="0" borderId="0" xfId="0" applyFont="1" applyAlignment="1">
      <alignment horizontal="left"/>
    </xf>
    <xf numFmtId="0" fontId="1" fillId="0" borderId="0" xfId="0" applyFont="1" applyAlignment="1">
      <alignment horizontal="center"/>
    </xf>
    <xf numFmtId="0" fontId="1" fillId="2" borderId="0" xfId="0" applyFont="1" applyFill="1" applyAlignment="1">
      <alignment horizontal="centerContinuous"/>
    </xf>
    <xf numFmtId="0" fontId="0" fillId="2" borderId="0" xfId="0" applyFill="1" applyAlignment="1">
      <alignment horizontal="centerContinuous"/>
    </xf>
    <xf numFmtId="0" fontId="0" fillId="3" borderId="0" xfId="0" applyFill="1" applyAlignment="1">
      <alignment horizontal="centerContinuous"/>
    </xf>
    <xf numFmtId="0" fontId="3" fillId="0" borderId="0" xfId="1" applyFont="1" applyAlignment="1">
      <alignment horizontal="center"/>
    </xf>
    <xf numFmtId="0" fontId="0" fillId="0" borderId="0" xfId="0" applyAlignment="1">
      <alignment horizontal="center"/>
    </xf>
    <xf numFmtId="0" fontId="1" fillId="5" borderId="0" xfId="0" applyFont="1" applyFill="1" applyAlignment="1">
      <alignment horizontal="center"/>
    </xf>
    <xf numFmtId="0" fontId="1" fillId="4" borderId="0" xfId="0" applyFont="1" applyFill="1" applyAlignment="1">
      <alignment horizontal="center"/>
    </xf>
    <xf numFmtId="0" fontId="0" fillId="0" borderId="0" xfId="0" applyAlignment="1">
      <alignment horizontal="left" indent="1"/>
    </xf>
    <xf numFmtId="0" fontId="3" fillId="0" borderId="0" xfId="0" applyFont="1"/>
    <xf numFmtId="0" fontId="8" fillId="0" borderId="7" xfId="0" applyFont="1" applyBorder="1"/>
    <xf numFmtId="0" fontId="3" fillId="0" borderId="10" xfId="0" applyFont="1" applyBorder="1"/>
    <xf numFmtId="0" fontId="0" fillId="0" borderId="10" xfId="0" applyBorder="1"/>
    <xf numFmtId="0" fontId="49" fillId="0" borderId="10" xfId="0" applyFont="1" applyBorder="1"/>
    <xf numFmtId="0" fontId="1" fillId="0" borderId="10" xfId="0" applyFont="1" applyBorder="1"/>
    <xf numFmtId="0" fontId="1" fillId="0" borderId="10" xfId="0" applyFont="1" applyBorder="1" applyAlignment="1">
      <alignment horizontal="left"/>
    </xf>
    <xf numFmtId="0" fontId="0" fillId="0" borderId="10" xfId="0" applyBorder="1" applyAlignment="1">
      <alignment horizontal="left"/>
    </xf>
    <xf numFmtId="0" fontId="1" fillId="0" borderId="2" xfId="0" applyFont="1" applyBorder="1"/>
    <xf numFmtId="0" fontId="1" fillId="6" borderId="0" xfId="0" applyFont="1" applyFill="1"/>
    <xf numFmtId="0" fontId="13" fillId="0" borderId="0" xfId="0" applyFont="1" applyAlignment="1">
      <alignment wrapText="1"/>
    </xf>
    <xf numFmtId="0" fontId="3" fillId="0" borderId="0" xfId="0" applyFont="1" applyAlignment="1">
      <alignment horizontal="center"/>
    </xf>
    <xf numFmtId="0" fontId="0" fillId="5" borderId="0" xfId="0" applyFill="1" applyAlignment="1">
      <alignment horizontal="center"/>
    </xf>
    <xf numFmtId="0" fontId="5" fillId="0" borderId="0" xfId="0" applyFont="1" applyAlignment="1">
      <alignment horizontal="left" vertical="top"/>
    </xf>
    <xf numFmtId="0" fontId="1" fillId="0" borderId="1" xfId="0" applyFont="1" applyBorder="1"/>
    <xf numFmtId="0" fontId="1" fillId="7" borderId="4" xfId="0" applyFont="1" applyFill="1" applyBorder="1"/>
    <xf numFmtId="164" fontId="8" fillId="7" borderId="4" xfId="0" applyNumberFormat="1" applyFont="1" applyFill="1" applyBorder="1"/>
    <xf numFmtId="0" fontId="7" fillId="0" borderId="0" xfId="0" applyFont="1" applyAlignment="1">
      <alignment horizontal="left"/>
    </xf>
    <xf numFmtId="0" fontId="3" fillId="0" borderId="1" xfId="0" applyFont="1" applyBorder="1"/>
    <xf numFmtId="0" fontId="6" fillId="0" borderId="0" xfId="0" applyFont="1" applyAlignment="1">
      <alignment horizontal="left" vertical="center" wrapText="1"/>
    </xf>
    <xf numFmtId="0" fontId="3" fillId="0" borderId="2" xfId="0" applyFont="1" applyBorder="1"/>
    <xf numFmtId="0" fontId="15" fillId="8" borderId="3" xfId="0" applyFont="1" applyFill="1" applyBorder="1" applyAlignment="1">
      <alignment horizontal="centerContinuous" vertical="center" wrapText="1"/>
    </xf>
    <xf numFmtId="0" fontId="35" fillId="0" borderId="0" xfId="0" applyFont="1"/>
    <xf numFmtId="164" fontId="35" fillId="0" borderId="0" xfId="0" applyNumberFormat="1" applyFont="1" applyAlignment="1">
      <alignment horizontal="right"/>
    </xf>
    <xf numFmtId="0" fontId="35" fillId="0" borderId="10" xfId="0" applyFont="1" applyBorder="1"/>
    <xf numFmtId="164" fontId="35" fillId="0" borderId="10" xfId="0" applyNumberFormat="1" applyFont="1" applyBorder="1" applyAlignment="1">
      <alignment horizontal="right"/>
    </xf>
    <xf numFmtId="164" fontId="35" fillId="0" borderId="0" xfId="0" applyNumberFormat="1" applyFont="1"/>
    <xf numFmtId="165" fontId="35" fillId="0" borderId="0" xfId="0" applyNumberFormat="1" applyFont="1"/>
    <xf numFmtId="165" fontId="68" fillId="0" borderId="0" xfId="0" applyNumberFormat="1" applyFont="1" applyAlignment="1">
      <alignment wrapText="1"/>
    </xf>
    <xf numFmtId="164" fontId="11" fillId="0" borderId="0" xfId="0" applyNumberFormat="1" applyFont="1" applyAlignment="1">
      <alignment horizontal="right"/>
    </xf>
    <xf numFmtId="0" fontId="10" fillId="0" borderId="0" xfId="0" applyFont="1"/>
    <xf numFmtId="164" fontId="8" fillId="0" borderId="7" xfId="0" applyNumberFormat="1" applyFont="1" applyBorder="1" applyAlignment="1">
      <alignment horizontal="right"/>
    </xf>
    <xf numFmtId="0" fontId="10" fillId="0" borderId="10" xfId="0" applyFont="1" applyBorder="1"/>
    <xf numFmtId="164" fontId="8" fillId="0" borderId="7" xfId="0" applyNumberFormat="1" applyFont="1" applyBorder="1"/>
    <xf numFmtId="164" fontId="10" fillId="0" borderId="10" xfId="0" applyNumberFormat="1" applyFont="1" applyBorder="1" applyAlignment="1">
      <alignment horizontal="right"/>
    </xf>
    <xf numFmtId="164" fontId="11" fillId="0" borderId="10" xfId="0" applyNumberFormat="1" applyFont="1" applyBorder="1" applyAlignment="1">
      <alignment horizontal="right"/>
    </xf>
    <xf numFmtId="164" fontId="10" fillId="0" borderId="0" xfId="0" applyNumberFormat="1" applyFont="1" applyAlignment="1">
      <alignment horizontal="right"/>
    </xf>
    <xf numFmtId="0" fontId="8" fillId="0" borderId="2" xfId="0" applyFont="1" applyBorder="1"/>
    <xf numFmtId="0" fontId="8" fillId="0" borderId="0" xfId="0" applyFont="1"/>
    <xf numFmtId="0" fontId="8" fillId="0" borderId="1" xfId="0" applyFont="1" applyBorder="1"/>
    <xf numFmtId="0" fontId="8" fillId="7" borderId="4" xfId="0" applyFont="1" applyFill="1" applyBorder="1"/>
    <xf numFmtId="0" fontId="64" fillId="0" borderId="0" xfId="0" applyFont="1"/>
    <xf numFmtId="0" fontId="45" fillId="24" borderId="0" xfId="0" applyFont="1" applyFill="1"/>
    <xf numFmtId="0" fontId="6" fillId="25" borderId="0" xfId="0" applyFont="1" applyFill="1"/>
    <xf numFmtId="0" fontId="6" fillId="0" borderId="0" xfId="0" applyFont="1" applyAlignment="1">
      <alignment wrapText="1"/>
    </xf>
    <xf numFmtId="0" fontId="58" fillId="0" borderId="0" xfId="0" applyFont="1"/>
    <xf numFmtId="165" fontId="58" fillId="0" borderId="0" xfId="0" applyNumberFormat="1" applyFont="1"/>
    <xf numFmtId="0" fontId="6" fillId="25" borderId="0" xfId="0" applyFont="1" applyFill="1" applyAlignment="1">
      <alignment wrapText="1"/>
    </xf>
    <xf numFmtId="0" fontId="54" fillId="0" borderId="0" xfId="0" applyFont="1" applyAlignment="1">
      <alignment wrapText="1"/>
    </xf>
    <xf numFmtId="0" fontId="55" fillId="24" borderId="0" xfId="0" applyFont="1" applyFill="1"/>
    <xf numFmtId="164" fontId="58" fillId="0" borderId="0" xfId="0" applyNumberFormat="1" applyFont="1"/>
    <xf numFmtId="0" fontId="48" fillId="20" borderId="0" xfId="0" applyFont="1" applyFill="1"/>
    <xf numFmtId="0" fontId="48" fillId="23" borderId="0" xfId="0" applyFont="1" applyFill="1"/>
    <xf numFmtId="164" fontId="60" fillId="0" borderId="0" xfId="0" applyNumberFormat="1" applyFont="1"/>
    <xf numFmtId="165" fontId="60" fillId="0" borderId="0" xfId="0" applyNumberFormat="1" applyFont="1"/>
    <xf numFmtId="0" fontId="61" fillId="25" borderId="0" xfId="0" applyFont="1" applyFill="1"/>
    <xf numFmtId="0" fontId="48" fillId="0" borderId="0" xfId="0" applyFont="1"/>
    <xf numFmtId="174" fontId="35" fillId="0" borderId="0" xfId="0" applyNumberFormat="1" applyFont="1"/>
    <xf numFmtId="15" fontId="59" fillId="0" borderId="0" xfId="0" applyNumberFormat="1" applyFont="1"/>
    <xf numFmtId="174" fontId="10" fillId="0" borderId="0" xfId="0" applyNumberFormat="1" applyFont="1"/>
    <xf numFmtId="165" fontId="65" fillId="0" borderId="0" xfId="0" applyNumberFormat="1" applyFont="1"/>
    <xf numFmtId="0" fontId="15" fillId="8" borderId="3" xfId="0" applyFont="1" applyFill="1" applyBorder="1" applyAlignment="1">
      <alignment vertical="center" wrapText="1"/>
    </xf>
    <xf numFmtId="0" fontId="0" fillId="0" borderId="3" xfId="0" applyBorder="1"/>
    <xf numFmtId="0" fontId="1" fillId="0" borderId="0" xfId="0" applyFont="1" applyAlignment="1">
      <alignment horizontal="left" vertical="center"/>
    </xf>
    <xf numFmtId="0" fontId="0" fillId="0" borderId="0" xfId="0" applyAlignment="1">
      <alignment horizontal="centerContinuous" vertical="center"/>
    </xf>
    <xf numFmtId="0" fontId="0" fillId="0" borderId="0" xfId="0" applyAlignment="1">
      <alignment vertical="center"/>
    </xf>
    <xf numFmtId="0" fontId="3" fillId="0" borderId="0" xfId="1" applyFont="1" applyAlignment="1">
      <alignment horizontal="left" vertical="center" wrapText="1"/>
    </xf>
    <xf numFmtId="0" fontId="0" fillId="0" borderId="0" xfId="0" applyAlignment="1">
      <alignment horizontal="center" vertical="center"/>
    </xf>
    <xf numFmtId="0" fontId="1" fillId="5" borderId="0" xfId="0" applyFont="1" applyFill="1" applyAlignment="1">
      <alignment horizontal="right" vertical="center"/>
    </xf>
    <xf numFmtId="0" fontId="1" fillId="4" borderId="0" xfId="0" applyFont="1" applyFill="1" applyAlignment="1">
      <alignment horizontal="right" vertical="center"/>
    </xf>
    <xf numFmtId="0" fontId="0" fillId="0" borderId="0" xfId="0" applyAlignment="1">
      <alignment horizontal="left" vertical="center"/>
    </xf>
    <xf numFmtId="0" fontId="0" fillId="0" borderId="0" xfId="0" applyAlignment="1">
      <alignment horizontal="right" vertical="center"/>
    </xf>
    <xf numFmtId="165" fontId="10" fillId="0" borderId="0" xfId="0" applyNumberFormat="1" applyFont="1" applyAlignment="1">
      <alignment horizontal="right" vertical="center"/>
    </xf>
    <xf numFmtId="164" fontId="10" fillId="0" borderId="0" xfId="0" applyNumberFormat="1" applyFont="1" applyAlignment="1">
      <alignment horizontal="right" vertical="center"/>
    </xf>
    <xf numFmtId="0" fontId="15" fillId="8" borderId="3" xfId="0" applyFont="1" applyFill="1" applyBorder="1" applyAlignment="1">
      <alignment horizontal="left" vertical="center" wrapText="1"/>
    </xf>
    <xf numFmtId="0" fontId="44" fillId="24" borderId="0" xfId="0" applyFont="1" applyFill="1" applyAlignment="1">
      <alignment horizontal="left" vertical="center"/>
    </xf>
    <xf numFmtId="0" fontId="44" fillId="24" borderId="0" xfId="0" applyFont="1" applyFill="1"/>
    <xf numFmtId="0" fontId="43" fillId="0" borderId="0" xfId="0" applyFont="1"/>
    <xf numFmtId="165" fontId="53" fillId="0" borderId="0" xfId="0" applyNumberFormat="1" applyFont="1"/>
    <xf numFmtId="164" fontId="53" fillId="0" borderId="0" xfId="0" applyNumberFormat="1" applyFont="1"/>
    <xf numFmtId="175" fontId="53" fillId="0" borderId="0" xfId="0" applyNumberFormat="1" applyFont="1"/>
    <xf numFmtId="0" fontId="10" fillId="0" borderId="0" xfId="0" applyFont="1" applyAlignment="1">
      <alignment vertical="center"/>
    </xf>
    <xf numFmtId="0" fontId="52" fillId="0" borderId="0" xfId="0" applyFont="1"/>
    <xf numFmtId="165" fontId="52" fillId="0" borderId="0" xfId="0" applyNumberFormat="1" applyFont="1"/>
    <xf numFmtId="164" fontId="52" fillId="0" borderId="0" xfId="0" applyNumberFormat="1" applyFont="1"/>
    <xf numFmtId="175" fontId="52" fillId="0" borderId="0" xfId="0" applyNumberFormat="1" applyFont="1"/>
    <xf numFmtId="0" fontId="20" fillId="10" borderId="0" xfId="0" applyFont="1" applyFill="1" applyAlignment="1">
      <alignment horizontal="centerContinuous"/>
    </xf>
    <xf numFmtId="0" fontId="0" fillId="10" borderId="0" xfId="0" applyFill="1" applyAlignment="1">
      <alignment horizontal="centerContinuous"/>
    </xf>
    <xf numFmtId="0" fontId="1" fillId="10" borderId="0" xfId="0" applyFont="1" applyFill="1" applyAlignment="1">
      <alignment horizontal="centerContinuous"/>
    </xf>
    <xf numFmtId="0" fontId="20" fillId="12" borderId="0" xfId="0" applyFont="1" applyFill="1" applyAlignment="1">
      <alignment horizontal="center" wrapText="1"/>
    </xf>
    <xf numFmtId="0" fontId="0" fillId="13" borderId="0" xfId="0" applyFill="1" applyAlignment="1">
      <alignment horizontal="center" vertical="center" wrapText="1"/>
    </xf>
    <xf numFmtId="0" fontId="21" fillId="0" borderId="0" xfId="0" applyFont="1"/>
    <xf numFmtId="0" fontId="22" fillId="0" borderId="0" xfId="0" applyFont="1" applyAlignment="1">
      <alignment horizontal="left" vertical="top" wrapText="1"/>
    </xf>
    <xf numFmtId="176" fontId="0" fillId="0" borderId="0" xfId="2" applyNumberFormat="1" applyFont="1"/>
    <xf numFmtId="0" fontId="23" fillId="0" borderId="0" xfId="0" applyFont="1" applyAlignment="1">
      <alignment vertical="top" wrapText="1"/>
    </xf>
    <xf numFmtId="0" fontId="23" fillId="0" borderId="0" xfId="0" applyFont="1" applyAlignment="1">
      <alignment horizontal="left" vertical="top" wrapText="1"/>
    </xf>
    <xf numFmtId="0" fontId="69" fillId="0" borderId="0" xfId="0" applyFont="1"/>
    <xf numFmtId="0" fontId="10" fillId="0" borderId="0" xfId="0" applyFont="1" applyAlignment="1">
      <alignment horizontal="left" vertical="top" wrapText="1"/>
    </xf>
    <xf numFmtId="165" fontId="10" fillId="0" borderId="0" xfId="2" applyNumberFormat="1" applyFont="1"/>
    <xf numFmtId="176" fontId="10" fillId="0" borderId="0" xfId="2" applyNumberFormat="1" applyFont="1"/>
    <xf numFmtId="167" fontId="10" fillId="0" borderId="0" xfId="0" applyNumberFormat="1" applyFont="1"/>
    <xf numFmtId="167" fontId="10" fillId="0" borderId="0" xfId="2" applyNumberFormat="1" applyFont="1"/>
    <xf numFmtId="175" fontId="10" fillId="0" borderId="0" xfId="2" applyNumberFormat="1" applyFont="1"/>
    <xf numFmtId="164" fontId="10" fillId="0" borderId="0" xfId="2" applyNumberFormat="1" applyFont="1"/>
    <xf numFmtId="0" fontId="31" fillId="15" borderId="0" xfId="0" applyFont="1" applyFill="1"/>
    <xf numFmtId="0" fontId="3" fillId="0" borderId="0" xfId="1" applyFont="1" applyAlignment="1">
      <alignment horizontal="left"/>
    </xf>
    <xf numFmtId="0" fontId="29" fillId="15" borderId="0" xfId="0" applyFont="1" applyFill="1"/>
    <xf numFmtId="165" fontId="0" fillId="0" borderId="0" xfId="0" applyNumberFormat="1" applyAlignment="1">
      <alignment wrapText="1"/>
    </xf>
    <xf numFmtId="0" fontId="21" fillId="15" borderId="0" xfId="0" applyFont="1" applyFill="1"/>
    <xf numFmtId="0" fontId="1" fillId="0" borderId="0" xfId="0" applyFont="1" applyAlignment="1">
      <alignment horizontal="right"/>
    </xf>
    <xf numFmtId="0" fontId="31" fillId="15" borderId="0" xfId="0" applyFont="1" applyFill="1" applyAlignment="1">
      <alignment horizontal="center"/>
    </xf>
    <xf numFmtId="0" fontId="40" fillId="19" borderId="0" xfId="0" applyFont="1" applyFill="1"/>
    <xf numFmtId="0" fontId="34" fillId="22" borderId="0" xfId="0" applyFont="1" applyFill="1"/>
    <xf numFmtId="0" fontId="0" fillId="0" borderId="0" xfId="0" applyAlignment="1">
      <alignment wrapText="1"/>
    </xf>
    <xf numFmtId="0" fontId="1" fillId="23" borderId="0" xfId="0" applyFont="1" applyFill="1"/>
    <xf numFmtId="165" fontId="35" fillId="0" borderId="0" xfId="0" applyNumberFormat="1" applyFont="1" applyAlignment="1">
      <alignment wrapText="1"/>
    </xf>
    <xf numFmtId="165" fontId="35" fillId="0" borderId="0" xfId="2" applyNumberFormat="1" applyFont="1"/>
    <xf numFmtId="164" fontId="8" fillId="0" borderId="0" xfId="0" applyNumberFormat="1" applyFont="1"/>
    <xf numFmtId="165" fontId="8" fillId="15" borderId="0" xfId="2" applyNumberFormat="1" applyFont="1" applyFill="1"/>
    <xf numFmtId="165" fontId="8" fillId="15" borderId="0" xfId="0" applyNumberFormat="1" applyFont="1" applyFill="1"/>
    <xf numFmtId="165" fontId="10" fillId="0" borderId="0" xfId="0" applyNumberFormat="1" applyFont="1" applyAlignment="1">
      <alignment wrapText="1"/>
    </xf>
    <xf numFmtId="164" fontId="8" fillId="15" borderId="0" xfId="0" applyNumberFormat="1" applyFont="1" applyFill="1"/>
    <xf numFmtId="0" fontId="0" fillId="0" borderId="0" xfId="0" applyAlignment="1">
      <alignment horizontal="center" wrapText="1"/>
    </xf>
    <xf numFmtId="0" fontId="3" fillId="0" borderId="7" xfId="0" applyFont="1" applyBorder="1"/>
    <xf numFmtId="0" fontId="0" fillId="0" borderId="7" xfId="0" applyBorder="1" applyAlignment="1">
      <alignment wrapText="1"/>
    </xf>
    <xf numFmtId="0" fontId="1" fillId="0" borderId="7" xfId="0" applyFont="1" applyBorder="1"/>
    <xf numFmtId="0" fontId="1" fillId="0" borderId="7" xfId="0" applyFont="1" applyBorder="1" applyAlignment="1">
      <alignment horizontal="left"/>
    </xf>
    <xf numFmtId="0" fontId="1" fillId="0" borderId="0" xfId="0" applyFont="1" applyAlignment="1">
      <alignment wrapText="1"/>
    </xf>
    <xf numFmtId="0" fontId="1" fillId="0" borderId="2" xfId="0" applyFont="1" applyBorder="1" applyAlignment="1">
      <alignment wrapText="1"/>
    </xf>
    <xf numFmtId="0" fontId="1" fillId="0" borderId="1" xfId="0" applyFont="1" applyBorder="1" applyAlignment="1">
      <alignment wrapText="1"/>
    </xf>
    <xf numFmtId="0" fontId="0" fillId="14" borderId="0" xfId="0" applyFill="1"/>
    <xf numFmtId="0" fontId="0" fillId="14" borderId="0" xfId="0" applyFill="1" applyAlignment="1">
      <alignment wrapText="1"/>
    </xf>
    <xf numFmtId="0" fontId="25" fillId="0" borderId="0" xfId="0" applyFont="1"/>
    <xf numFmtId="0" fontId="1" fillId="3" borderId="0" xfId="0" applyFont="1" applyFill="1" applyAlignment="1">
      <alignment horizontal="centerContinuous"/>
    </xf>
    <xf numFmtId="0" fontId="26" fillId="0" borderId="0" xfId="0" applyFont="1"/>
    <xf numFmtId="0" fontId="27" fillId="0" borderId="0" xfId="0" applyFont="1" applyAlignment="1">
      <alignment horizontal="left"/>
    </xf>
    <xf numFmtId="0" fontId="8" fillId="0" borderId="0" xfId="0" applyFont="1" applyAlignment="1">
      <alignment horizontal="left"/>
    </xf>
    <xf numFmtId="0" fontId="28" fillId="0" borderId="0" xfId="0" applyFont="1" applyAlignment="1">
      <alignment horizontal="left"/>
    </xf>
    <xf numFmtId="0" fontId="0" fillId="0" borderId="7" xfId="0" applyBorder="1"/>
    <xf numFmtId="164" fontId="70" fillId="0" borderId="0" xfId="0" applyNumberFormat="1" applyFont="1" applyAlignment="1">
      <alignment horizontal="right"/>
    </xf>
    <xf numFmtId="164" fontId="69" fillId="0" borderId="0" xfId="0" applyNumberFormat="1" applyFont="1"/>
    <xf numFmtId="0" fontId="69" fillId="0" borderId="7" xfId="0" applyFont="1" applyBorder="1"/>
    <xf numFmtId="0" fontId="10" fillId="0" borderId="7" xfId="0" applyFont="1" applyBorder="1" applyAlignment="1">
      <alignment wrapText="1"/>
    </xf>
    <xf numFmtId="164" fontId="10" fillId="0" borderId="7" xfId="0" applyNumberFormat="1" applyFont="1" applyBorder="1" applyAlignment="1">
      <alignment horizontal="right"/>
    </xf>
    <xf numFmtId="0" fontId="8" fillId="0" borderId="2" xfId="0" applyFont="1" applyBorder="1" applyAlignment="1">
      <alignment wrapText="1"/>
    </xf>
    <xf numFmtId="0" fontId="8" fillId="0" borderId="1" xfId="0" applyFont="1" applyBorder="1" applyAlignment="1">
      <alignment wrapText="1"/>
    </xf>
    <xf numFmtId="0" fontId="10" fillId="14" borderId="0" xfId="0" applyFont="1" applyFill="1" applyAlignment="1">
      <alignment wrapText="1"/>
    </xf>
    <xf numFmtId="164" fontId="10" fillId="14" borderId="0" xfId="0" applyNumberFormat="1" applyFont="1" applyFill="1"/>
    <xf numFmtId="165" fontId="8" fillId="0" borderId="7" xfId="2" applyNumberFormat="1" applyFont="1" applyBorder="1"/>
    <xf numFmtId="0" fontId="10" fillId="0" borderId="7" xfId="0" applyFont="1" applyBorder="1"/>
    <xf numFmtId="164" fontId="10" fillId="0" borderId="7" xfId="0" applyNumberFormat="1" applyFont="1" applyBorder="1"/>
    <xf numFmtId="0" fontId="33" fillId="0" borderId="0" xfId="0" applyFont="1"/>
    <xf numFmtId="0" fontId="40" fillId="19" borderId="10" xfId="0" applyFont="1" applyFill="1" applyBorder="1" applyAlignment="1">
      <alignment horizontal="left"/>
    </xf>
    <xf numFmtId="0" fontId="31" fillId="0" borderId="8" xfId="0" applyFont="1" applyBorder="1"/>
    <xf numFmtId="0" fontId="41" fillId="20" borderId="12" xfId="0" applyFont="1" applyFill="1" applyBorder="1" applyAlignment="1">
      <alignment horizontal="center"/>
    </xf>
    <xf numFmtId="0" fontId="39" fillId="0" borderId="0" xfId="0" applyFont="1"/>
    <xf numFmtId="0" fontId="31" fillId="0" borderId="8" xfId="0" applyFont="1" applyBorder="1" applyAlignment="1">
      <alignment horizontal="right"/>
    </xf>
    <xf numFmtId="165" fontId="42" fillId="21" borderId="0" xfId="0" applyNumberFormat="1" applyFont="1" applyFill="1" applyAlignment="1">
      <alignment horizontal="right"/>
    </xf>
    <xf numFmtId="164" fontId="35" fillId="21" borderId="0" xfId="0" applyNumberFormat="1" applyFont="1" applyFill="1" applyAlignment="1">
      <alignment horizontal="right"/>
    </xf>
    <xf numFmtId="164" fontId="10" fillId="21" borderId="0" xfId="0" applyNumberFormat="1" applyFont="1" applyFill="1" applyAlignment="1">
      <alignment horizontal="right"/>
    </xf>
    <xf numFmtId="0" fontId="8" fillId="21" borderId="14" xfId="0" applyFont="1" applyFill="1" applyBorder="1" applyAlignment="1">
      <alignment horizontal="left"/>
    </xf>
    <xf numFmtId="164" fontId="8" fillId="21" borderId="14" xfId="0" applyNumberFormat="1" applyFont="1" applyFill="1" applyBorder="1" applyAlignment="1">
      <alignment horizontal="right"/>
    </xf>
    <xf numFmtId="0" fontId="8" fillId="21" borderId="22" xfId="0" applyFont="1" applyFill="1" applyBorder="1" applyAlignment="1">
      <alignment horizontal="left"/>
    </xf>
    <xf numFmtId="164" fontId="8" fillId="21" borderId="22" xfId="0" applyNumberFormat="1" applyFont="1" applyFill="1" applyBorder="1" applyAlignment="1">
      <alignment horizontal="right"/>
    </xf>
    <xf numFmtId="0" fontId="8" fillId="21" borderId="10" xfId="0" applyFont="1" applyFill="1" applyBorder="1" applyAlignment="1">
      <alignment horizontal="left"/>
    </xf>
    <xf numFmtId="164" fontId="8" fillId="0" borderId="9" xfId="0" applyNumberFormat="1" applyFont="1" applyBorder="1"/>
    <xf numFmtId="170" fontId="10" fillId="0" borderId="0" xfId="0" applyNumberFormat="1" applyFont="1"/>
    <xf numFmtId="165" fontId="10" fillId="21" borderId="0" xfId="0" applyNumberFormat="1" applyFont="1" applyFill="1" applyAlignment="1">
      <alignment horizontal="right"/>
    </xf>
    <xf numFmtId="0" fontId="8" fillId="21" borderId="23" xfId="0" applyFont="1" applyFill="1" applyBorder="1" applyAlignment="1">
      <alignment horizontal="left"/>
    </xf>
    <xf numFmtId="164" fontId="8" fillId="21" borderId="23" xfId="0" applyNumberFormat="1" applyFont="1" applyFill="1" applyBorder="1" applyAlignment="1">
      <alignment horizontal="right"/>
    </xf>
    <xf numFmtId="0" fontId="34" fillId="16" borderId="0" xfId="0" applyFont="1" applyFill="1"/>
    <xf numFmtId="0" fontId="40" fillId="19" borderId="11" xfId="0" applyFont="1" applyFill="1" applyBorder="1" applyAlignment="1">
      <alignment horizontal="left"/>
    </xf>
    <xf numFmtId="165" fontId="69" fillId="20" borderId="13" xfId="0" applyNumberFormat="1" applyFont="1" applyFill="1" applyBorder="1" applyAlignment="1">
      <alignment horizontal="center"/>
    </xf>
    <xf numFmtId="0" fontId="8" fillId="17" borderId="0" xfId="0" applyFont="1" applyFill="1"/>
    <xf numFmtId="0" fontId="6" fillId="0" borderId="0" xfId="0" applyFont="1" applyAlignment="1">
      <alignment horizontal="left" vertical="center"/>
    </xf>
    <xf numFmtId="0" fontId="45" fillId="22" borderId="0" xfId="0" applyFont="1" applyFill="1" applyAlignment="1">
      <alignment horizontal="left" vertical="center" wrapText="1"/>
    </xf>
    <xf numFmtId="164" fontId="6" fillId="0" borderId="0" xfId="0" applyNumberFormat="1" applyFont="1" applyAlignment="1">
      <alignment horizontal="right" vertical="center"/>
    </xf>
    <xf numFmtId="165" fontId="6" fillId="0" borderId="0" xfId="0" applyNumberFormat="1" applyFont="1" applyAlignment="1">
      <alignment horizontal="right" vertical="center"/>
    </xf>
    <xf numFmtId="0" fontId="6" fillId="0" borderId="0" xfId="0" applyFont="1" applyAlignment="1">
      <alignment horizontal="right" vertical="center"/>
    </xf>
    <xf numFmtId="0" fontId="48" fillId="23" borderId="0" xfId="0" applyFont="1" applyFill="1" applyAlignment="1">
      <alignment horizontal="left" vertical="center"/>
    </xf>
    <xf numFmtId="0" fontId="48" fillId="23" borderId="0" xfId="0" applyFont="1" applyFill="1" applyAlignment="1">
      <alignment horizontal="right" vertical="center"/>
    </xf>
    <xf numFmtId="0" fontId="45" fillId="22" borderId="0" xfId="0" applyFont="1" applyFill="1" applyAlignment="1">
      <alignment horizontal="right" vertical="center" wrapText="1"/>
    </xf>
    <xf numFmtId="0" fontId="6" fillId="0" borderId="0" xfId="0" applyFont="1" applyAlignment="1">
      <alignment horizontal="right" vertical="center" wrapText="1"/>
    </xf>
    <xf numFmtId="0" fontId="45" fillId="22" borderId="0" xfId="0" applyFont="1" applyFill="1" applyAlignment="1">
      <alignment wrapText="1"/>
    </xf>
    <xf numFmtId="165" fontId="6" fillId="0" borderId="0" xfId="0" applyNumberFormat="1" applyFont="1" applyAlignment="1">
      <alignment wrapText="1"/>
    </xf>
    <xf numFmtId="164" fontId="59" fillId="0" borderId="0" xfId="0" applyNumberFormat="1" applyFont="1" applyAlignment="1">
      <alignment horizontal="right" vertical="center"/>
    </xf>
    <xf numFmtId="165" fontId="59" fillId="0" borderId="0" xfId="0" applyNumberFormat="1" applyFont="1" applyAlignment="1">
      <alignment wrapText="1"/>
    </xf>
    <xf numFmtId="164" fontId="65" fillId="0" borderId="0" xfId="0" applyNumberFormat="1" applyFont="1" applyAlignment="1">
      <alignment horizontal="right" vertical="center"/>
    </xf>
    <xf numFmtId="168" fontId="65" fillId="0" borderId="0" xfId="0" applyNumberFormat="1" applyFont="1" applyAlignment="1">
      <alignment horizontal="right" vertical="center"/>
    </xf>
    <xf numFmtId="165" fontId="65" fillId="0" borderId="0" xfId="0" applyNumberFormat="1" applyFont="1" applyAlignment="1">
      <alignment horizontal="right" vertical="center"/>
    </xf>
    <xf numFmtId="168" fontId="71" fillId="23" borderId="0" xfId="0" applyNumberFormat="1" applyFont="1" applyFill="1" applyAlignment="1">
      <alignment horizontal="right" vertical="center"/>
    </xf>
    <xf numFmtId="165" fontId="71" fillId="23" borderId="0" xfId="0" applyNumberFormat="1" applyFont="1" applyFill="1" applyAlignment="1">
      <alignment horizontal="right" vertical="center"/>
    </xf>
    <xf numFmtId="168" fontId="65" fillId="0" borderId="0" xfId="0" applyNumberFormat="1" applyFont="1" applyAlignment="1">
      <alignment horizontal="left" vertical="center"/>
    </xf>
    <xf numFmtId="164" fontId="65" fillId="0" borderId="0" xfId="0" applyNumberFormat="1" applyFont="1" applyAlignment="1">
      <alignment horizontal="left" vertical="center"/>
    </xf>
    <xf numFmtId="173" fontId="65" fillId="0" borderId="0" xfId="0" applyNumberFormat="1" applyFont="1" applyAlignment="1">
      <alignment horizontal="right" vertical="center"/>
    </xf>
    <xf numFmtId="165" fontId="65" fillId="0" borderId="0" xfId="0" applyNumberFormat="1" applyFont="1" applyAlignment="1">
      <alignment horizontal="left" vertical="center"/>
    </xf>
    <xf numFmtId="165" fontId="65" fillId="0" borderId="0" xfId="0" applyNumberFormat="1" applyFont="1" applyAlignment="1">
      <alignment wrapText="1"/>
    </xf>
    <xf numFmtId="164" fontId="65" fillId="0" borderId="0" xfId="0" applyNumberFormat="1" applyFont="1" applyAlignment="1">
      <alignment wrapText="1"/>
    </xf>
    <xf numFmtId="173" fontId="65" fillId="0" borderId="0" xfId="0" applyNumberFormat="1" applyFont="1" applyAlignment="1">
      <alignment wrapText="1"/>
    </xf>
    <xf numFmtId="0" fontId="1" fillId="5" borderId="0" xfId="0" applyFont="1" applyFill="1" applyAlignment="1">
      <alignment horizontal="centerContinuous"/>
    </xf>
    <xf numFmtId="165" fontId="8" fillId="0" borderId="0" xfId="0" applyNumberFormat="1" applyFont="1"/>
    <xf numFmtId="0" fontId="17" fillId="9" borderId="0" xfId="0" applyFont="1" applyFill="1" applyAlignment="1">
      <alignment vertical="top"/>
    </xf>
    <xf numFmtId="0" fontId="18" fillId="0" borderId="6" xfId="0" applyFont="1" applyBorder="1" applyAlignment="1">
      <alignment horizontal="centerContinuous"/>
    </xf>
    <xf numFmtId="0" fontId="18" fillId="0" borderId="6" xfId="0" applyFont="1" applyBorder="1" applyAlignment="1">
      <alignment horizontal="center"/>
    </xf>
    <xf numFmtId="14" fontId="35" fillId="0" borderId="0" xfId="0" applyNumberFormat="1" applyFont="1" applyAlignment="1">
      <alignment vertical="top" wrapText="1"/>
    </xf>
    <xf numFmtId="164" fontId="35" fillId="0" borderId="0" xfId="0" applyNumberFormat="1" applyFont="1" applyAlignment="1">
      <alignment vertical="top" wrapText="1"/>
    </xf>
    <xf numFmtId="15" fontId="59" fillId="0" borderId="0" xfId="0" applyNumberFormat="1" applyFont="1" applyAlignment="1">
      <alignment wrapText="1"/>
    </xf>
    <xf numFmtId="179" fontId="35" fillId="0" borderId="0" xfId="0" applyNumberFormat="1" applyFont="1"/>
    <xf numFmtId="179" fontId="35" fillId="0" borderId="0" xfId="0" applyNumberFormat="1" applyFont="1" applyAlignment="1">
      <alignment vertical="top" wrapText="1"/>
    </xf>
    <xf numFmtId="165" fontId="35" fillId="0" borderId="0" xfId="0" applyNumberFormat="1" applyFont="1" applyAlignment="1">
      <alignment vertical="top" wrapText="1"/>
    </xf>
    <xf numFmtId="1" fontId="69" fillId="11" borderId="0" xfId="0" applyNumberFormat="1" applyFont="1" applyFill="1" applyAlignment="1">
      <alignment horizontal="center"/>
    </xf>
    <xf numFmtId="1" fontId="8" fillId="0" borderId="0" xfId="0" applyNumberFormat="1" applyFont="1"/>
    <xf numFmtId="179" fontId="10" fillId="0" borderId="0" xfId="0" applyNumberFormat="1" applyFont="1"/>
    <xf numFmtId="164" fontId="70" fillId="0" borderId="10" xfId="0" applyNumberFormat="1" applyFont="1" applyBorder="1" applyAlignment="1">
      <alignment horizontal="right"/>
    </xf>
    <xf numFmtId="0" fontId="8" fillId="10" borderId="0" xfId="0" applyFont="1" applyFill="1" applyAlignment="1">
      <alignment horizontal="centerContinuous"/>
    </xf>
    <xf numFmtId="1" fontId="69" fillId="0" borderId="0" xfId="0" applyNumberFormat="1" applyFont="1"/>
    <xf numFmtId="164" fontId="69" fillId="15" borderId="0" xfId="0" applyNumberFormat="1" applyFont="1" applyFill="1" applyAlignment="1">
      <alignment horizontal="center"/>
    </xf>
    <xf numFmtId="165" fontId="10" fillId="15" borderId="0" xfId="0" applyNumberFormat="1" applyFont="1" applyFill="1"/>
    <xf numFmtId="164" fontId="10" fillId="15" borderId="0" xfId="0" applyNumberFormat="1" applyFont="1" applyFill="1"/>
    <xf numFmtId="0" fontId="8" fillId="15" borderId="0" xfId="0" applyFont="1" applyFill="1"/>
    <xf numFmtId="164" fontId="69" fillId="0" borderId="7" xfId="0" applyNumberFormat="1" applyFont="1" applyBorder="1"/>
    <xf numFmtId="171" fontId="10" fillId="0" borderId="0" xfId="0" applyNumberFormat="1" applyFont="1"/>
    <xf numFmtId="165" fontId="8" fillId="21" borderId="0" xfId="0" applyNumberFormat="1" applyFont="1" applyFill="1" applyAlignment="1">
      <alignment horizontal="right"/>
    </xf>
    <xf numFmtId="171" fontId="8" fillId="0" borderId="9" xfId="0" applyNumberFormat="1" applyFont="1" applyBorder="1"/>
    <xf numFmtId="165" fontId="69" fillId="20" borderId="0" xfId="0" applyNumberFormat="1" applyFont="1" applyFill="1" applyAlignment="1">
      <alignment horizontal="center"/>
    </xf>
    <xf numFmtId="165" fontId="8" fillId="20" borderId="12" xfId="0" applyNumberFormat="1" applyFont="1" applyFill="1" applyBorder="1" applyAlignment="1">
      <alignment horizontal="center"/>
    </xf>
    <xf numFmtId="0" fontId="10" fillId="0" borderId="5" xfId="0" applyFont="1" applyBorder="1"/>
    <xf numFmtId="0" fontId="0" fillId="0" borderId="0" xfId="0" applyAlignment="1">
      <alignment horizontal="left" wrapText="1"/>
    </xf>
    <xf numFmtId="0" fontId="1" fillId="0" borderId="0" xfId="0" applyFont="1" applyAlignment="1">
      <alignment horizontal="left" wrapText="1"/>
    </xf>
    <xf numFmtId="0" fontId="8" fillId="0" borderId="10" xfId="0" applyFont="1" applyBorder="1"/>
    <xf numFmtId="164" fontId="8" fillId="0" borderId="10" xfId="0" applyNumberFormat="1" applyFont="1" applyBorder="1"/>
    <xf numFmtId="0" fontId="19" fillId="0" borderId="0" xfId="0" applyFont="1"/>
    <xf numFmtId="0" fontId="72" fillId="0" borderId="0" xfId="0" applyFont="1"/>
    <xf numFmtId="180" fontId="19" fillId="0" borderId="0" xfId="0" applyNumberFormat="1" applyFont="1"/>
    <xf numFmtId="180" fontId="19" fillId="0" borderId="5" xfId="0" applyNumberFormat="1" applyFont="1" applyBorder="1"/>
    <xf numFmtId="181" fontId="19" fillId="0" borderId="0" xfId="0" applyNumberFormat="1" applyFont="1"/>
    <xf numFmtId="181" fontId="19" fillId="0" borderId="5" xfId="0" applyNumberFormat="1" applyFont="1" applyBorder="1"/>
    <xf numFmtId="0" fontId="73" fillId="0" borderId="0" xfId="3" applyNumberFormat="1" applyFont="1"/>
    <xf numFmtId="0" fontId="74" fillId="24" borderId="0" xfId="3" applyNumberFormat="1" applyFont="1" applyFill="1"/>
    <xf numFmtId="0" fontId="36" fillId="0" borderId="0" xfId="0" applyFont="1"/>
    <xf numFmtId="0" fontId="75" fillId="0" borderId="0" xfId="3" applyNumberFormat="1" applyFont="1"/>
    <xf numFmtId="164" fontId="36" fillId="0" borderId="10" xfId="0" applyNumberFormat="1" applyFont="1" applyBorder="1"/>
    <xf numFmtId="165" fontId="42" fillId="0" borderId="2" xfId="0" applyNumberFormat="1" applyFont="1" applyBorder="1"/>
    <xf numFmtId="165" fontId="42" fillId="0" borderId="0" xfId="0" applyNumberFormat="1" applyFont="1" applyAlignment="1">
      <alignment horizontal="right"/>
    </xf>
    <xf numFmtId="165" fontId="76" fillId="0" borderId="0" xfId="0" applyNumberFormat="1" applyFont="1" applyAlignment="1">
      <alignment horizontal="right"/>
    </xf>
    <xf numFmtId="165" fontId="42" fillId="0" borderId="1" xfId="0" applyNumberFormat="1" applyFont="1" applyBorder="1" applyAlignment="1">
      <alignment horizontal="right"/>
    </xf>
    <xf numFmtId="165" fontId="76" fillId="0" borderId="1" xfId="0" applyNumberFormat="1" applyFont="1" applyBorder="1" applyAlignment="1">
      <alignment horizontal="right"/>
    </xf>
    <xf numFmtId="165" fontId="42" fillId="0" borderId="1" xfId="0" applyNumberFormat="1" applyFont="1" applyBorder="1"/>
    <xf numFmtId="165" fontId="42" fillId="0" borderId="2" xfId="0" applyNumberFormat="1" applyFont="1" applyBorder="1" applyAlignment="1">
      <alignment horizontal="right"/>
    </xf>
    <xf numFmtId="165" fontId="76" fillId="0" borderId="2" xfId="0" applyNumberFormat="1" applyFont="1" applyBorder="1" applyAlignment="1">
      <alignment horizontal="right"/>
    </xf>
    <xf numFmtId="165" fontId="36" fillId="0" borderId="0" xfId="0" applyNumberFormat="1" applyFont="1" applyAlignment="1">
      <alignment horizontal="right" vertical="center"/>
    </xf>
    <xf numFmtId="165" fontId="50" fillId="0" borderId="0" xfId="0" applyNumberFormat="1" applyFont="1" applyAlignment="1">
      <alignment horizontal="right" vertical="center"/>
    </xf>
    <xf numFmtId="168" fontId="36" fillId="0" borderId="0" xfId="0" applyNumberFormat="1" applyFont="1" applyAlignment="1">
      <alignment horizontal="right" vertical="center"/>
    </xf>
    <xf numFmtId="168" fontId="50" fillId="0" borderId="0" xfId="0" applyNumberFormat="1" applyFont="1" applyAlignment="1">
      <alignment horizontal="right" vertical="center"/>
    </xf>
    <xf numFmtId="164" fontId="36" fillId="0" borderId="0" xfId="0" applyNumberFormat="1" applyFont="1" applyAlignment="1">
      <alignment horizontal="right" vertical="center"/>
    </xf>
    <xf numFmtId="164" fontId="50" fillId="0" borderId="0" xfId="0" applyNumberFormat="1" applyFont="1" applyAlignment="1">
      <alignment horizontal="right" vertical="center"/>
    </xf>
    <xf numFmtId="165" fontId="36" fillId="0" borderId="0" xfId="2" applyNumberFormat="1" applyFont="1"/>
    <xf numFmtId="167" fontId="36" fillId="0" borderId="0" xfId="0" applyNumberFormat="1" applyFont="1"/>
    <xf numFmtId="168" fontId="36" fillId="0" borderId="0" xfId="0" applyNumberFormat="1" applyFont="1"/>
    <xf numFmtId="165" fontId="42" fillId="15" borderId="0" xfId="0" applyNumberFormat="1" applyFont="1" applyFill="1"/>
    <xf numFmtId="165" fontId="42" fillId="15" borderId="0" xfId="2" applyNumberFormat="1" applyFont="1" applyFill="1"/>
    <xf numFmtId="164" fontId="50" fillId="0" borderId="0" xfId="0" applyNumberFormat="1" applyFont="1" applyAlignment="1">
      <alignment horizontal="right"/>
    </xf>
    <xf numFmtId="0" fontId="42" fillId="0" borderId="0" xfId="0" applyFont="1"/>
    <xf numFmtId="164" fontId="36" fillId="21" borderId="0" xfId="0" applyNumberFormat="1" applyFont="1" applyFill="1" applyAlignment="1">
      <alignment horizontal="right"/>
    </xf>
    <xf numFmtId="171" fontId="36" fillId="0" borderId="0" xfId="0" applyNumberFormat="1" applyFont="1"/>
    <xf numFmtId="0" fontId="42" fillId="0" borderId="8" xfId="0" applyFont="1" applyBorder="1" applyAlignment="1">
      <alignment horizontal="right"/>
    </xf>
    <xf numFmtId="165" fontId="36" fillId="21" borderId="0" xfId="0" applyNumberFormat="1" applyFont="1" applyFill="1" applyAlignment="1">
      <alignment horizontal="right"/>
    </xf>
    <xf numFmtId="170" fontId="36" fillId="0" borderId="0" xfId="0" applyNumberFormat="1" applyFont="1"/>
    <xf numFmtId="179" fontId="36" fillId="0" borderId="0" xfId="0" applyNumberFormat="1" applyFont="1"/>
    <xf numFmtId="165" fontId="42" fillId="17" borderId="0" xfId="0" applyNumberFormat="1" applyFont="1" applyFill="1"/>
    <xf numFmtId="177" fontId="36" fillId="0" borderId="0" xfId="0" applyNumberFormat="1" applyFont="1"/>
    <xf numFmtId="172" fontId="42" fillId="21" borderId="0" xfId="0" applyNumberFormat="1" applyFont="1" applyFill="1" applyAlignment="1">
      <alignment horizontal="right"/>
    </xf>
    <xf numFmtId="178" fontId="36" fillId="21" borderId="16" xfId="0" applyNumberFormat="1" applyFont="1" applyFill="1" applyBorder="1" applyAlignment="1">
      <alignment horizontal="right"/>
    </xf>
    <xf numFmtId="178" fontId="36" fillId="21" borderId="14" xfId="0" applyNumberFormat="1" applyFont="1" applyFill="1" applyBorder="1" applyAlignment="1">
      <alignment horizontal="right"/>
    </xf>
    <xf numFmtId="178" fontId="36" fillId="21" borderId="19" xfId="0" applyNumberFormat="1" applyFont="1" applyFill="1" applyBorder="1" applyAlignment="1">
      <alignment horizontal="right"/>
    </xf>
    <xf numFmtId="178" fontId="36" fillId="21" borderId="17" xfId="0" applyNumberFormat="1" applyFont="1" applyFill="1" applyBorder="1" applyAlignment="1">
      <alignment horizontal="right"/>
    </xf>
    <xf numFmtId="178" fontId="36" fillId="21" borderId="10" xfId="0" applyNumberFormat="1" applyFont="1" applyFill="1" applyBorder="1" applyAlignment="1">
      <alignment horizontal="right"/>
    </xf>
    <xf numFmtId="178" fontId="36" fillId="21" borderId="20" xfId="0" applyNumberFormat="1" applyFont="1" applyFill="1" applyBorder="1" applyAlignment="1">
      <alignment horizontal="right"/>
    </xf>
    <xf numFmtId="178" fontId="36" fillId="21" borderId="18" xfId="0" applyNumberFormat="1" applyFont="1" applyFill="1" applyBorder="1" applyAlignment="1">
      <alignment horizontal="right"/>
    </xf>
    <xf numFmtId="178" fontId="36" fillId="21" borderId="15" xfId="0" applyNumberFormat="1" applyFont="1" applyFill="1" applyBorder="1" applyAlignment="1">
      <alignment horizontal="right"/>
    </xf>
    <xf numFmtId="178" fontId="36" fillId="21" borderId="21" xfId="0" applyNumberFormat="1" applyFont="1" applyFill="1" applyBorder="1" applyAlignment="1">
      <alignment horizontal="right"/>
    </xf>
    <xf numFmtId="164" fontId="58" fillId="0" borderId="0" xfId="0" applyNumberFormat="1" applyFont="1" applyAlignment="1">
      <alignment horizontal="right" vertical="center"/>
    </xf>
    <xf numFmtId="173" fontId="58" fillId="0" borderId="0" xfId="0" applyNumberFormat="1" applyFont="1" applyAlignment="1">
      <alignment horizontal="right" vertical="center"/>
    </xf>
    <xf numFmtId="165" fontId="58" fillId="0" borderId="0" xfId="0" applyNumberFormat="1" applyFont="1" applyAlignment="1">
      <alignment horizontal="right" vertical="center"/>
    </xf>
    <xf numFmtId="173" fontId="58" fillId="0" borderId="0" xfId="0" applyNumberFormat="1" applyFont="1" applyAlignment="1">
      <alignment horizontal="left" vertical="center"/>
    </xf>
    <xf numFmtId="164" fontId="58" fillId="0" borderId="0" xfId="0" applyNumberFormat="1" applyFont="1" applyAlignment="1">
      <alignment horizontal="left" vertical="center"/>
    </xf>
    <xf numFmtId="165" fontId="58" fillId="0" borderId="0" xfId="0" applyNumberFormat="1" applyFont="1" applyAlignment="1">
      <alignment horizontal="left" vertical="center"/>
    </xf>
    <xf numFmtId="165" fontId="58" fillId="0" borderId="0" xfId="0" applyNumberFormat="1" applyFont="1" applyAlignment="1">
      <alignment wrapText="1"/>
    </xf>
    <xf numFmtId="164" fontId="58" fillId="0" borderId="0" xfId="0" applyNumberFormat="1" applyFont="1" applyAlignment="1">
      <alignment wrapText="1"/>
    </xf>
    <xf numFmtId="173" fontId="58" fillId="0" borderId="0" xfId="0" applyNumberFormat="1" applyFont="1" applyAlignment="1">
      <alignment wrapText="1"/>
    </xf>
    <xf numFmtId="169" fontId="0" fillId="0" borderId="10" xfId="2" applyNumberFormat="1" applyFont="1" applyBorder="1" applyAlignment="1">
      <alignment horizontal="center" vertical="center"/>
    </xf>
    <xf numFmtId="0" fontId="6" fillId="0" borderId="0" xfId="0" applyFont="1" applyAlignment="1">
      <alignment wrapText="1"/>
    </xf>
    <xf numFmtId="0" fontId="6" fillId="0" borderId="0" xfId="0" applyFont="1"/>
    <xf numFmtId="0" fontId="58" fillId="0" borderId="0" xfId="0" applyFont="1"/>
    <xf numFmtId="174" fontId="58" fillId="0" borderId="0" xfId="0" applyNumberFormat="1" applyFont="1"/>
    <xf numFmtId="0" fontId="59" fillId="0" borderId="0" xfId="0" applyFont="1"/>
    <xf numFmtId="0" fontId="65" fillId="0" borderId="0" xfId="0" applyFont="1"/>
    <xf numFmtId="0" fontId="66" fillId="0" borderId="0" xfId="0" applyFont="1"/>
    <xf numFmtId="0" fontId="45" fillId="24" borderId="0" xfId="0" applyFont="1" applyFill="1"/>
    <xf numFmtId="0" fontId="6" fillId="25" borderId="0" xfId="0" applyFont="1" applyFill="1" applyAlignment="1">
      <alignment wrapText="1"/>
    </xf>
    <xf numFmtId="0" fontId="54" fillId="0" borderId="0" xfId="0" applyFont="1" applyAlignment="1">
      <alignment wrapText="1"/>
    </xf>
    <xf numFmtId="165" fontId="58" fillId="0" borderId="0" xfId="0" applyNumberFormat="1" applyFont="1"/>
    <xf numFmtId="0" fontId="62" fillId="24" borderId="0" xfId="0" applyFont="1" applyFill="1"/>
    <xf numFmtId="0" fontId="63" fillId="0" borderId="0" xfId="0" applyFont="1"/>
    <xf numFmtId="0" fontId="64" fillId="0" borderId="0" xfId="0" applyFont="1"/>
    <xf numFmtId="0" fontId="6" fillId="0" borderId="0" xfId="0" applyFont="1" applyAlignment="1">
      <alignment horizontal="left"/>
    </xf>
    <xf numFmtId="15" fontId="59" fillId="0" borderId="0" xfId="0" applyNumberFormat="1" applyFont="1" applyAlignment="1">
      <alignment horizontal="left"/>
    </xf>
    <xf numFmtId="15" fontId="6" fillId="0" borderId="0" xfId="0" applyNumberFormat="1" applyFont="1" applyAlignment="1">
      <alignment horizontal="left"/>
    </xf>
    <xf numFmtId="0" fontId="56" fillId="0" borderId="0" xfId="0" applyFont="1"/>
    <xf numFmtId="0" fontId="57" fillId="0" borderId="0" xfId="0" applyFont="1"/>
    <xf numFmtId="0" fontId="0" fillId="0" borderId="0" xfId="0" applyAlignment="1">
      <alignment wrapText="1"/>
    </xf>
    <xf numFmtId="0" fontId="46" fillId="18" borderId="0" xfId="0" applyFont="1" applyFill="1" applyAlignment="1">
      <alignment horizontal="left" vertical="center"/>
    </xf>
    <xf numFmtId="0" fontId="67" fillId="18" borderId="0" xfId="0" applyFont="1" applyFill="1" applyAlignment="1">
      <alignment horizontal="left" vertical="center"/>
    </xf>
    <xf numFmtId="0" fontId="47" fillId="0" borderId="0" xfId="0" applyFont="1" applyAlignment="1">
      <alignment horizontal="left" vertical="center"/>
    </xf>
    <xf numFmtId="0" fontId="48" fillId="23" borderId="0" xfId="0" applyFont="1" applyFill="1" applyAlignment="1">
      <alignment horizontal="left" vertical="center"/>
    </xf>
    <xf numFmtId="0" fontId="58" fillId="0" borderId="0" xfId="0" applyFont="1" applyAlignment="1">
      <alignment horizontal="left" vertical="center" wrapText="1"/>
    </xf>
    <xf numFmtId="0" fontId="6" fillId="0" borderId="0" xfId="0" applyFont="1" applyAlignment="1">
      <alignment horizontal="left" vertical="center" wrapText="1"/>
    </xf>
    <xf numFmtId="0" fontId="45" fillId="18" borderId="0" xfId="0" applyFont="1" applyFill="1" applyAlignment="1">
      <alignment wrapText="1"/>
    </xf>
  </cellXfs>
  <cellStyles count="4">
    <cellStyle name="Hyperlink" xfId="3" builtinId="8"/>
    <cellStyle name="Normal" xfId="0" builtinId="0"/>
    <cellStyle name="Normal 2" xfId="1" xr:uid="{00000000-0005-0000-0000-000001000000}"/>
    <cellStyle name="Percent" xfId="2" xr:uid="{00000000-0005-0000-0000-000002000000}"/>
  </cellStyles>
  <dxfs count="15">
    <dxf>
      <font>
        <color rgb="FFFF0000"/>
      </font>
    </dxf>
    <dxf>
      <font>
        <color rgb="FF00B050"/>
      </font>
    </dxf>
    <dxf>
      <font>
        <color theme="1" tint="0.34998626667073579"/>
      </font>
    </dxf>
    <dxf>
      <font>
        <color rgb="FFFF0000"/>
      </font>
    </dxf>
    <dxf>
      <font>
        <color rgb="FF00B050"/>
      </font>
    </dxf>
    <dxf>
      <font>
        <color theme="1" tint="0.34998626667073579"/>
      </font>
    </dxf>
    <dxf>
      <font>
        <color rgb="FFFF0000"/>
      </font>
    </dxf>
    <dxf>
      <font>
        <color rgb="FF00B050"/>
      </font>
    </dxf>
    <dxf>
      <font>
        <color theme="1" tint="0.34998626667073579"/>
      </font>
    </dxf>
    <dxf>
      <font>
        <color rgb="FFFF0000"/>
      </font>
    </dxf>
    <dxf>
      <font>
        <color rgb="FF00B050"/>
      </font>
    </dxf>
    <dxf>
      <font>
        <color theme="1" tint="0.34998626667073579"/>
      </font>
    </dxf>
    <dxf>
      <font>
        <color rgb="FFFF0000"/>
      </font>
    </dxf>
    <dxf>
      <font>
        <color rgb="FF00B050"/>
      </font>
    </dxf>
    <dxf>
      <font>
        <color theme="1" tint="0.3499862666707357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06/relationships/rdRichValue" Target="richData/rdrichvalue.xml"/><Relationship Id="rId3" Type="http://schemas.openxmlformats.org/officeDocument/2006/relationships/worksheet" Target="worksheets/sheet3.xml"/><Relationship Id="rId21" Type="http://schemas.microsoft.com/office/2017/06/relationships/richStyles" Target="richData/rich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Array" Target="richData/rdarray.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SupportingPropertyBag" Target="richData/rdsupportingpropertybag.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Cash vs Economic Investment Intensity</a:t>
            </a:r>
          </a:p>
        </c:rich>
      </c:tx>
      <c:overlay val="0"/>
      <c:spPr>
        <a:noFill/>
        <a:ln>
          <a:noFill/>
        </a:ln>
      </c:spPr>
    </c:title>
    <c:autoTitleDeleted val="0"/>
    <c:plotArea>
      <c:layout/>
      <c:lineChart>
        <c:grouping val="standard"/>
        <c:varyColors val="0"/>
        <c:ser>
          <c:idx val="0"/>
          <c:order val="0"/>
          <c:tx>
            <c:strRef>
              <c:f>Dashboard!$U$1</c:f>
              <c:strCache>
                <c:ptCount val="1"/>
                <c:pt idx="0">
                  <c:v>Cash CapEx / revenue</c:v>
                </c:pt>
              </c:strCache>
            </c:strRef>
          </c:tx>
          <c:spPr>
            <a:ln w="28575" cap="rnd">
              <a:solidFill>
                <a:srgbClr val="1F3864"/>
              </a:solidFill>
              <a:round/>
            </a:ln>
          </c:spPr>
          <c:marker>
            <c:symbol val="circle"/>
            <c:size val="6"/>
            <c:spPr>
              <a:solidFill>
                <a:srgbClr val="1F3864"/>
              </a:solidFill>
              <a:ln w="9525">
                <a:solidFill>
                  <a:srgbClr val="1F3864"/>
                </a:solidFill>
              </a:ln>
            </c:spPr>
          </c:marker>
          <c:cat>
            <c:strRef>
              <c:f>Dashboard!$T$2:$T$11</c:f>
              <c:strCache>
                <c:ptCount val="10"/>
                <c:pt idx="0">
                  <c:v>2022A</c:v>
                </c:pt>
                <c:pt idx="1">
                  <c:v>2023A</c:v>
                </c:pt>
                <c:pt idx="2">
                  <c:v>2024A</c:v>
                </c:pt>
                <c:pt idx="3">
                  <c:v>2025A</c:v>
                </c:pt>
                <c:pt idx="4">
                  <c:v>2026A</c:v>
                </c:pt>
                <c:pt idx="5">
                  <c:v>2027E</c:v>
                </c:pt>
                <c:pt idx="6">
                  <c:v>2028E</c:v>
                </c:pt>
                <c:pt idx="7">
                  <c:v>2029E</c:v>
                </c:pt>
                <c:pt idx="8">
                  <c:v>2030E</c:v>
                </c:pt>
                <c:pt idx="9">
                  <c:v>2031E</c:v>
                </c:pt>
              </c:strCache>
            </c:strRef>
          </c:cat>
          <c:val>
            <c:numRef>
              <c:f>Dashboard!$U$2:$U$11</c:f>
              <c:numCache>
                <c:formatCode>0.0%</c:formatCode>
                <c:ptCount val="10"/>
                <c:pt idx="0">
                  <c:v>0.12047208352246935</c:v>
                </c:pt>
                <c:pt idx="1">
                  <c:v>0.13263336715192411</c:v>
                </c:pt>
                <c:pt idx="2">
                  <c:v>0.18144842160230415</c:v>
                </c:pt>
                <c:pt idx="3">
                  <c:v>0.22912850875324786</c:v>
                </c:pt>
                <c:pt idx="4">
                  <c:v>0.34941040685392616</c:v>
                </c:pt>
                <c:pt idx="5">
                  <c:v>0.358947631181514</c:v>
                </c:pt>
                <c:pt idx="6">
                  <c:v>0.3367474820793309</c:v>
                </c:pt>
                <c:pt idx="7">
                  <c:v>0.31685984137013906</c:v>
                </c:pt>
                <c:pt idx="8">
                  <c:v>0.29924680339047177</c:v>
                </c:pt>
                <c:pt idx="9">
                  <c:v>0.2848892379841533</c:v>
                </c:pt>
              </c:numCache>
            </c:numRef>
          </c:val>
          <c:smooth val="0"/>
        </c:ser>
        <c:ser>
          <c:idx val="1"/>
          <c:order val="1"/>
          <c:tx>
            <c:strRef>
              <c:f>Dashboard!$V$1</c:f>
              <c:strCache>
                <c:ptCount val="1"/>
                <c:pt idx="0">
                  <c:v>Economic investment / revenue</c:v>
                </c:pt>
              </c:strCache>
            </c:strRef>
          </c:tx>
          <c:spPr>
            <a:ln w="28575" cap="rnd">
              <a:solidFill>
                <a:srgbClr val="ED7D31"/>
              </a:solidFill>
              <a:round/>
            </a:ln>
          </c:spPr>
          <c:marker>
            <c:symbol val="circle"/>
            <c:size val="6"/>
            <c:spPr>
              <a:solidFill>
                <a:srgbClr val="ED7D31"/>
              </a:solidFill>
              <a:ln w="9525">
                <a:solidFill>
                  <a:srgbClr val="ED7D31"/>
                </a:solidFill>
              </a:ln>
            </c:spPr>
          </c:marker>
          <c:cat>
            <c:strRef>
              <c:f>Dashboard!$T$2:$T$11</c:f>
              <c:strCache>
                <c:ptCount val="10"/>
                <c:pt idx="0">
                  <c:v>2022A</c:v>
                </c:pt>
                <c:pt idx="1">
                  <c:v>2023A</c:v>
                </c:pt>
                <c:pt idx="2">
                  <c:v>2024A</c:v>
                </c:pt>
                <c:pt idx="3">
                  <c:v>2025A</c:v>
                </c:pt>
                <c:pt idx="4">
                  <c:v>2026A</c:v>
                </c:pt>
                <c:pt idx="5">
                  <c:v>2027E</c:v>
                </c:pt>
                <c:pt idx="6">
                  <c:v>2028E</c:v>
                </c:pt>
                <c:pt idx="7">
                  <c:v>2029E</c:v>
                </c:pt>
                <c:pt idx="8">
                  <c:v>2030E</c:v>
                </c:pt>
                <c:pt idx="9">
                  <c:v>2031E</c:v>
                </c:pt>
              </c:strCache>
            </c:strRef>
          </c:cat>
          <c:val>
            <c:numRef>
              <c:f>Dashboard!$V$2:$V$11</c:f>
              <c:numCache>
                <c:formatCode>0.0%</c:formatCode>
                <c:ptCount val="10"/>
                <c:pt idx="5">
                  <c:v>0.397406305950962</c:v>
                </c:pt>
                <c:pt idx="6">
                  <c:v>0.36933594808700815</c:v>
                </c:pt>
                <c:pt idx="7">
                  <c:v>0.34481806266750425</c:v>
                </c:pt>
                <c:pt idx="8">
                  <c:v>0.3235100577194289</c:v>
                </c:pt>
                <c:pt idx="9">
                  <c:v>0.3062559308329648</c:v>
                </c:pt>
              </c:numCache>
            </c:numRef>
          </c:val>
          <c:smooth val="0"/>
        </c:ser>
        <c:dLbls>
          <c:showLegendKey val="0"/>
          <c:showVal val="0"/>
          <c:showCatName val="0"/>
          <c:showSerName val="0"/>
          <c:showPercent val="0"/>
          <c:showBubbleSize val="0"/>
        </c:dLbls>
        <c:marker val="1"/>
        <c:axId val="1736498048"/>
        <c:axId val="1480000463"/>
      </c:lineChart>
      <c:catAx>
        <c:axId val="1736498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a:t>Fiscal year</a:t>
                </a:r>
              </a:p>
            </c:rich>
          </c:tx>
          <c:overlay val="0"/>
          <c:spPr>
            <a:noFill/>
            <a:ln>
              <a:noFill/>
            </a:ln>
          </c:spPr>
        </c:title>
        <c:numFmt formatCode="General" sourceLinked="0"/>
        <c:majorTickMark val="none"/>
        <c:minorTickMark val="none"/>
        <c:tickLblPos val="low"/>
        <c:spPr>
          <a:noFill/>
          <a:ln w="9525" cap="flat" cmpd="sng" algn="ctr">
            <a:solidFill>
              <a:schemeClr val="tx1">
                <a:lumMod val="15000"/>
                <a:lumOff val="85000"/>
              </a:schemeClr>
            </a:solidFill>
            <a:roun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000463"/>
        <c:crosses val="autoZero"/>
        <c:auto val="1"/>
        <c:lblAlgn val="ctr"/>
        <c:lblOffset val="100"/>
        <c:noMultiLvlLbl val="0"/>
      </c:catAx>
      <c:valAx>
        <c:axId val="1480000463"/>
        <c:scaling>
          <c:orientation val="minMax"/>
          <c:min val="0"/>
        </c:scaling>
        <c:delete val="0"/>
        <c:axPos val="l"/>
        <c:majorGridlines>
          <c:spPr>
            <a:ln w="9525" cap="flat" cmpd="sng" algn="ctr">
              <a:solidFill>
                <a:schemeClr val="tx1">
                  <a:lumMod val="15000"/>
                  <a:lumOff val="85000"/>
                </a:schemeClr>
              </a:solidFill>
              <a:round/>
            </a:ln>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a:t>% of revenue</a:t>
                </a:r>
              </a:p>
            </c:rich>
          </c:tx>
          <c:overlay val="0"/>
          <c:spPr>
            <a:noFill/>
            <a:ln>
              <a:noFill/>
            </a:ln>
          </c:spPr>
        </c:title>
        <c:numFmt formatCode="0%" sourceLinked="0"/>
        <c:majorTickMark val="none"/>
        <c:minorTickMark val="none"/>
        <c:tickLblPos val="nextTo"/>
        <c:spPr>
          <a:noFill/>
          <a:ln>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498048"/>
        <c:crosses val="autoZero"/>
        <c:crossBetween val="between"/>
      </c:valAx>
      <c:spPr>
        <a:noFill/>
        <a:ln>
          <a:noFill/>
        </a:ln>
      </c:spPr>
    </c:plotArea>
    <c:legend>
      <c:legendPos val="b"/>
      <c:overlay val="0"/>
      <c:spPr>
        <a:noFill/>
        <a:ln>
          <a:noFill/>
        </a:ln>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0"/>
    <c:dispBlanksAs val="gap"/>
  </c:chart>
  <c:spPr>
    <a:solidFill>
      <a:schemeClr val="bg1"/>
    </a:solidFill>
    <a:ln w="9525" cap="flat" cmpd="sng" algn="ctr">
      <a:solidFill>
        <a:schemeClr val="tx1">
          <a:lumMod val="15000"/>
          <a:lumOff val="85000"/>
        </a:schemeClr>
      </a:solidFill>
      <a:round/>
    </a:ln>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Operating Cash Flow, Cash CapEx and Cash FCF ($bn)</a:t>
            </a:r>
          </a:p>
        </c:rich>
      </c:tx>
      <c:overlay val="0"/>
      <c:spPr>
        <a:noFill/>
        <a:ln>
          <a:noFill/>
        </a:ln>
      </c:spPr>
    </c:title>
    <c:autoTitleDeleted val="0"/>
    <c:plotArea>
      <c:layout/>
      <c:barChart>
        <c:barDir val="col"/>
        <c:grouping val="clustered"/>
        <c:varyColors val="0"/>
        <c:ser>
          <c:idx val="0"/>
          <c:order val="0"/>
          <c:tx>
            <c:strRef>
              <c:f>Dashboard!$Y$1</c:f>
              <c:strCache>
                <c:ptCount val="1"/>
                <c:pt idx="0">
                  <c:v>CFO ($bn)</c:v>
                </c:pt>
              </c:strCache>
            </c:strRef>
          </c:tx>
          <c:spPr>
            <a:solidFill>
              <a:srgbClr val="1F3864"/>
            </a:solidFill>
            <a:ln>
              <a:noFill/>
            </a:ln>
          </c:spPr>
          <c:invertIfNegative val="0"/>
          <c:cat>
            <c:strRef>
              <c:f>Dashboard!$X$2:$X$11</c:f>
              <c:strCache>
                <c:ptCount val="10"/>
                <c:pt idx="0">
                  <c:v>2022A</c:v>
                </c:pt>
                <c:pt idx="1">
                  <c:v>2023A</c:v>
                </c:pt>
                <c:pt idx="2">
                  <c:v>2024A</c:v>
                </c:pt>
                <c:pt idx="3">
                  <c:v>2025A</c:v>
                </c:pt>
                <c:pt idx="4">
                  <c:v>2026A</c:v>
                </c:pt>
                <c:pt idx="5">
                  <c:v>2027E</c:v>
                </c:pt>
                <c:pt idx="6">
                  <c:v>2028E</c:v>
                </c:pt>
                <c:pt idx="7">
                  <c:v>2029E</c:v>
                </c:pt>
                <c:pt idx="8">
                  <c:v>2030E</c:v>
                </c:pt>
                <c:pt idx="9">
                  <c:v>2031E</c:v>
                </c:pt>
              </c:strCache>
            </c:strRef>
          </c:cat>
          <c:val>
            <c:numRef>
              <c:f>Dashboard!$Y$2:$Y$11</c:f>
              <c:numCache>
                <c:formatCode>#,##0</c:formatCode>
                <c:ptCount val="10"/>
                <c:pt idx="0">
                  <c:v>89.035</c:v>
                </c:pt>
                <c:pt idx="1">
                  <c:v>87.582</c:v>
                </c:pt>
                <c:pt idx="2">
                  <c:v>118.548</c:v>
                </c:pt>
                <c:pt idx="3">
                  <c:v>136.162</c:v>
                </c:pt>
                <c:pt idx="4">
                  <c:v>182.935</c:v>
                </c:pt>
                <c:pt idx="5">
                  <c:v>222.14056461079943</c:v>
                </c:pt>
                <c:pt idx="6">
                  <c:v>267.1956987491024</c:v>
                </c:pt>
                <c:pt idx="7">
                  <c:v>317.14449501068424</c:v>
                </c:pt>
                <c:pt idx="8">
                  <c:v>367.2466936314744</c:v>
                </c:pt>
                <c:pt idx="9">
                  <c:v>423.3965454456392</c:v>
                </c:pt>
              </c:numCache>
            </c:numRef>
          </c:val>
        </c:ser>
        <c:ser>
          <c:idx val="1"/>
          <c:order val="1"/>
          <c:tx>
            <c:strRef>
              <c:f>Dashboard!$Z$1</c:f>
              <c:strCache>
                <c:ptCount val="1"/>
                <c:pt idx="0">
                  <c:v>Cash CapEx ($bn)</c:v>
                </c:pt>
              </c:strCache>
            </c:strRef>
          </c:tx>
          <c:spPr>
            <a:solidFill>
              <a:srgbClr val="ED7D31"/>
            </a:solidFill>
            <a:ln>
              <a:noFill/>
            </a:ln>
          </c:spPr>
          <c:invertIfNegative val="0"/>
          <c:cat>
            <c:strRef>
              <c:f>Dashboard!$X$2:$X$11</c:f>
              <c:strCache>
                <c:ptCount val="10"/>
                <c:pt idx="0">
                  <c:v>2022A</c:v>
                </c:pt>
                <c:pt idx="1">
                  <c:v>2023A</c:v>
                </c:pt>
                <c:pt idx="2">
                  <c:v>2024A</c:v>
                </c:pt>
                <c:pt idx="3">
                  <c:v>2025A</c:v>
                </c:pt>
                <c:pt idx="4">
                  <c:v>2026A</c:v>
                </c:pt>
                <c:pt idx="5">
                  <c:v>2027E</c:v>
                </c:pt>
                <c:pt idx="6">
                  <c:v>2028E</c:v>
                </c:pt>
                <c:pt idx="7">
                  <c:v>2029E</c:v>
                </c:pt>
                <c:pt idx="8">
                  <c:v>2030E</c:v>
                </c:pt>
                <c:pt idx="9">
                  <c:v>2031E</c:v>
                </c:pt>
              </c:strCache>
            </c:strRef>
          </c:cat>
          <c:val>
            <c:numRef>
              <c:f>Dashboard!$Z$2:$Z$11</c:f>
              <c:numCache>
                <c:formatCode>#,##0</c:formatCode>
                <c:ptCount val="10"/>
                <c:pt idx="0">
                  <c:v>23.886</c:v>
                </c:pt>
                <c:pt idx="1">
                  <c:v>28.107</c:v>
                </c:pt>
                <c:pt idx="2">
                  <c:v>44.477</c:v>
                </c:pt>
                <c:pt idx="3">
                  <c:v>64.551</c:v>
                </c:pt>
                <c:pt idx="4">
                  <c:v>115.948</c:v>
                </c:pt>
                <c:pt idx="5">
                  <c:v>140</c:v>
                </c:pt>
                <c:pt idx="6">
                  <c:v>155</c:v>
                </c:pt>
                <c:pt idx="7">
                  <c:v>170</c:v>
                </c:pt>
                <c:pt idx="8">
                  <c:v>185</c:v>
                </c:pt>
                <c:pt idx="9">
                  <c:v>200</c:v>
                </c:pt>
              </c:numCache>
            </c:numRef>
          </c:val>
        </c:ser>
        <c:ser>
          <c:idx val="2"/>
          <c:order val="2"/>
          <c:tx>
            <c:strRef>
              <c:f>Dashboard!$AA$1</c:f>
              <c:strCache>
                <c:ptCount val="1"/>
                <c:pt idx="0">
                  <c:v>Cash FCF ($bn)</c:v>
                </c:pt>
              </c:strCache>
            </c:strRef>
          </c:tx>
          <c:spPr>
            <a:solidFill>
              <a:srgbClr val="2E75B6"/>
            </a:solidFill>
            <a:ln>
              <a:noFill/>
            </a:ln>
          </c:spPr>
          <c:invertIfNegative val="0"/>
          <c:cat>
            <c:strRef>
              <c:f>Dashboard!$X$2:$X$11</c:f>
              <c:strCache>
                <c:ptCount val="10"/>
                <c:pt idx="0">
                  <c:v>2022A</c:v>
                </c:pt>
                <c:pt idx="1">
                  <c:v>2023A</c:v>
                </c:pt>
                <c:pt idx="2">
                  <c:v>2024A</c:v>
                </c:pt>
                <c:pt idx="3">
                  <c:v>2025A</c:v>
                </c:pt>
                <c:pt idx="4">
                  <c:v>2026A</c:v>
                </c:pt>
                <c:pt idx="5">
                  <c:v>2027E</c:v>
                </c:pt>
                <c:pt idx="6">
                  <c:v>2028E</c:v>
                </c:pt>
                <c:pt idx="7">
                  <c:v>2029E</c:v>
                </c:pt>
                <c:pt idx="8">
                  <c:v>2030E</c:v>
                </c:pt>
                <c:pt idx="9">
                  <c:v>2031E</c:v>
                </c:pt>
              </c:strCache>
            </c:strRef>
          </c:cat>
          <c:val>
            <c:numRef>
              <c:f>Dashboard!$AA$2:$AA$11</c:f>
              <c:numCache>
                <c:formatCode>#,##0</c:formatCode>
                <c:ptCount val="10"/>
                <c:pt idx="0">
                  <c:v>65.149</c:v>
                </c:pt>
                <c:pt idx="1">
                  <c:v>59.475</c:v>
                </c:pt>
                <c:pt idx="2">
                  <c:v>74.071</c:v>
                </c:pt>
                <c:pt idx="3">
                  <c:v>71.611</c:v>
                </c:pt>
                <c:pt idx="4">
                  <c:v>66.987</c:v>
                </c:pt>
                <c:pt idx="5">
                  <c:v>82.14056461079943</c:v>
                </c:pt>
                <c:pt idx="6">
                  <c:v>112.19569874910242</c:v>
                </c:pt>
                <c:pt idx="7">
                  <c:v>147.14449501068424</c:v>
                </c:pt>
                <c:pt idx="8">
                  <c:v>182.2466936314744</c:v>
                </c:pt>
                <c:pt idx="9">
                  <c:v>223.39654544563922</c:v>
                </c:pt>
              </c:numCache>
            </c:numRef>
          </c:val>
        </c:ser>
        <c:dLbls>
          <c:showLegendKey val="0"/>
          <c:showVal val="0"/>
          <c:showCatName val="0"/>
          <c:showSerName val="0"/>
          <c:showPercent val="0"/>
          <c:showBubbleSize val="0"/>
        </c:dLbls>
        <c:gapWidth val="80"/>
        <c:axId val="1111111101"/>
        <c:axId val="1111111102"/>
      </c:barChart>
      <c:catAx>
        <c:axId val="111111110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a:t>Fiscal year</a:t>
                </a:r>
              </a:p>
            </c:rich>
          </c:tx>
          <c:overlay val="0"/>
          <c:spPr>
            <a:noFill/>
            <a:ln>
              <a:noFill/>
            </a:ln>
          </c:spPr>
        </c:title>
        <c:numFmt formatCode="General" sourceLinked="0"/>
        <c:majorTickMark val="none"/>
        <c:minorTickMark val="none"/>
        <c:tickLblPos val="low"/>
        <c:spPr>
          <a:noFill/>
          <a:ln w="9525" cap="flat" cmpd="sng" algn="ctr">
            <a:solidFill>
              <a:schemeClr val="tx1">
                <a:lumMod val="15000"/>
                <a:lumOff val="85000"/>
              </a:schemeClr>
            </a:solidFill>
            <a:roun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111102"/>
        <c:crosses val="autoZero"/>
        <c:auto val="1"/>
        <c:lblAlgn val="ctr"/>
        <c:lblOffset val="100"/>
        <c:noMultiLvlLbl val="0"/>
      </c:catAx>
      <c:valAx>
        <c:axId val="1111111102"/>
        <c:scaling>
          <c:orientation val="minMax"/>
        </c:scaling>
        <c:delete val="0"/>
        <c:axPos val="l"/>
        <c:majorGridlines>
          <c:spPr>
            <a:ln w="9525" cap="flat" cmpd="sng" algn="ctr">
              <a:solidFill>
                <a:schemeClr val="tx1">
                  <a:lumMod val="15000"/>
                  <a:lumOff val="85000"/>
                </a:schemeClr>
              </a:solidFill>
              <a:round/>
            </a:ln>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a:t>$bn</a:t>
                </a:r>
              </a:p>
            </c:rich>
          </c:tx>
          <c:overlay val="0"/>
          <c:spPr>
            <a:noFill/>
            <a:ln>
              <a:noFill/>
            </a:ln>
          </c:spPr>
        </c:title>
        <c:numFmt formatCode="#,##0" sourceLinked="0"/>
        <c:majorTickMark val="none"/>
        <c:minorTickMark val="none"/>
        <c:tickLblPos val="nextTo"/>
        <c:spPr>
          <a:noFill/>
          <a:ln>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111101"/>
        <c:crosses val="autoZero"/>
        <c:crossBetween val="between"/>
      </c:valAx>
      <c:spPr>
        <a:noFill/>
        <a:ln>
          <a:noFill/>
        </a:ln>
      </c:spPr>
    </c:plotArea>
    <c:legend>
      <c:legendPos val="b"/>
      <c:overlay val="0"/>
      <c:spPr>
        <a:noFill/>
        <a:ln>
          <a:noFill/>
        </a:ln>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0"/>
    <c:dispBlanksAs val="gap"/>
  </c:chart>
  <c:spPr>
    <a:solidFill>
      <a:schemeClr val="bg1"/>
    </a:solidFill>
    <a:ln w="9525" cap="flat" cmpd="sng" algn="ctr">
      <a:solidFill>
        <a:schemeClr val="tx1">
          <a:lumMod val="15000"/>
          <a:lumOff val="85000"/>
        </a:schemeClr>
      </a:solidFill>
      <a:round/>
    </a:ln>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Valuation Comparison ($ / share)</a:t>
            </a:r>
          </a:p>
        </c:rich>
      </c:tx>
      <c:overlay val="0"/>
      <c:spPr>
        <a:noFill/>
        <a:ln>
          <a:noFill/>
        </a:ln>
      </c:spPr>
    </c:title>
    <c:autoTitleDeleted val="0"/>
    <c:plotArea>
      <c:layout/>
      <c:barChart>
        <c:barDir val="col"/>
        <c:grouping val="clustered"/>
        <c:varyColors val="0"/>
        <c:ser>
          <c:idx val="0"/>
          <c:order val="0"/>
          <c:tx>
            <c:strRef>
              <c:f>Dashboard!$AD$1</c:f>
              <c:strCache>
                <c:ptCount val="1"/>
                <c:pt idx="0">
                  <c:v>Value / share</c:v>
                </c:pt>
              </c:strCache>
            </c:strRef>
          </c:tx>
          <c:spPr>
            <a:solidFill>
              <a:srgbClr val="1F3864"/>
            </a:solidFill>
            <a:ln>
              <a:noFill/>
            </a:ln>
          </c:spPr>
          <c:invertIfNegative val="0"/>
          <c:dPt>
            <c:idx val="0"/>
            <c:invertIfNegative val="0"/>
            <c:bubble3D val="0"/>
            <c:spPr>
              <a:solidFill>
                <a:srgbClr val="7F7F7F"/>
              </a:solidFill>
            </c:spPr>
          </c:dPt>
          <c:dPt>
            <c:idx val="1"/>
            <c:invertIfNegative val="0"/>
            <c:bubble3D val="0"/>
            <c:spPr>
              <a:solidFill>
                <a:srgbClr val="C00000"/>
              </a:solidFill>
            </c:spPr>
          </c:dPt>
          <c:dPt>
            <c:idx val="2"/>
            <c:invertIfNegative val="0"/>
            <c:bubble3D val="0"/>
            <c:spPr>
              <a:solidFill>
                <a:srgbClr val="1F3864"/>
              </a:solidFill>
            </c:spPr>
          </c:dPt>
          <c:dPt>
            <c:idx val="3"/>
            <c:invertIfNegative val="0"/>
            <c:bubble3D val="0"/>
            <c:spPr>
              <a:solidFill>
                <a:srgbClr val="548235"/>
              </a:solidFill>
            </c:spPr>
          </c:dPt>
          <c:dPt>
            <c:idx val="4"/>
            <c:invertIfNegative val="0"/>
            <c:bubble3D val="0"/>
            <c:spPr>
              <a:solidFill>
                <a:srgbClr val="ED7D31"/>
              </a:solidFill>
            </c:spPr>
          </c:dPt>
          <c:dLbls>
            <c:numFmt formatCode="&quot;$&quot;#,##0.00" sourceLinked="0"/>
            <c:spPr>
              <a:noFill/>
              <a:ln>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dLbls>
          <c:cat>
            <c:strRef>
              <c:f>Dashboard!$AC$2:$AC$6</c:f>
              <c:strCache>
                <c:ptCount val="5"/>
                <c:pt idx="0">
                  <c:v>Market</c:v>
                </c:pt>
                <c:pt idx="1">
                  <c:v>Bear DCF</c:v>
                </c:pt>
                <c:pt idx="2">
                  <c:v>Base DCF</c:v>
                </c:pt>
                <c:pt idx="3">
                  <c:v>Bull DCF</c:v>
                </c:pt>
                <c:pt idx="4">
                  <c:v>Peer P/E</c:v>
                </c:pt>
              </c:strCache>
            </c:strRef>
          </c:cat>
          <c:val>
            <c:numRef>
              <c:f>Dashboard!$AD$2:$AD$6</c:f>
              <c:numCache>
                <c:formatCode>"$"#,##0.00</c:formatCode>
                <c:ptCount val="5"/>
                <c:pt idx="0">
                  <c:v>531.33</c:v>
                </c:pt>
                <c:pt idx="1">
                  <c:v>300.218489396205</c:v>
                </c:pt>
                <c:pt idx="2">
                  <c:v>403.264343173895</c:v>
                </c:pt>
                <c:pt idx="3">
                  <c:v>500.321063896192</c:v>
                </c:pt>
                <c:pt idx="4">
                  <c:v>506.60636196934075</c:v>
                </c:pt>
              </c:numCache>
            </c:numRef>
          </c:val>
        </c:ser>
        <c:dLbls>
          <c:showLegendKey val="0"/>
          <c:showVal val="0"/>
          <c:showCatName val="0"/>
          <c:showSerName val="0"/>
          <c:showPercent val="0"/>
          <c:showBubbleSize val="0"/>
        </c:dLbls>
        <c:gapWidth val="60"/>
        <c:axId val="1222222201"/>
        <c:axId val="1222222202"/>
      </c:barChart>
      <c:catAx>
        <c:axId val="122222220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a:t>Valuation reference</a:t>
                </a:r>
              </a:p>
            </c:rich>
          </c:tx>
          <c:overlay val="0"/>
          <c:spPr>
            <a:noFill/>
            <a:ln>
              <a:noFill/>
            </a:ln>
          </c:spPr>
        </c:title>
        <c:numFmt formatCode="General" sourceLinked="0"/>
        <c:majorTickMark val="none"/>
        <c:minorTickMark val="none"/>
        <c:tickLblPos val="low"/>
        <c:spPr>
          <a:noFill/>
          <a:ln w="9525" cap="flat" cmpd="sng" algn="ctr">
            <a:solidFill>
              <a:schemeClr val="tx1">
                <a:lumMod val="15000"/>
                <a:lumOff val="85000"/>
              </a:schemeClr>
            </a:solidFill>
            <a:roun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22202"/>
        <c:crosses val="autoZero"/>
        <c:auto val="1"/>
        <c:lblAlgn val="ctr"/>
        <c:lblOffset val="100"/>
        <c:noMultiLvlLbl val="0"/>
      </c:catAx>
      <c:valAx>
        <c:axId val="1222222202"/>
        <c:scaling>
          <c:orientation val="minMax"/>
        </c:scaling>
        <c:delete val="0"/>
        <c:axPos val="l"/>
        <c:majorGridlines>
          <c:spPr>
            <a:ln w="9525" cap="flat" cmpd="sng" algn="ctr">
              <a:solidFill>
                <a:schemeClr val="tx1">
                  <a:lumMod val="15000"/>
                  <a:lumOff val="85000"/>
                </a:schemeClr>
              </a:solidFill>
              <a:round/>
            </a:ln>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a:t>$ / share</a:t>
                </a:r>
              </a:p>
            </c:rich>
          </c:tx>
          <c:overlay val="0"/>
          <c:spPr>
            <a:noFill/>
            <a:ln>
              <a:noFill/>
            </a:ln>
          </c:spPr>
        </c:title>
        <c:numFmt formatCode="&quot;$&quot;#,##0" sourceLinked="0"/>
        <c:majorTickMark val="none"/>
        <c:minorTickMark val="none"/>
        <c:tickLblPos val="nextTo"/>
        <c:spPr>
          <a:noFill/>
          <a:ln>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22201"/>
        <c:crosses val="autoZero"/>
        <c:crossBetween val="between"/>
      </c:valAx>
      <c:spPr>
        <a:noFill/>
        <a:ln>
          <a:noFill/>
        </a:ln>
      </c:spPr>
    </c:plotArea>
    <c:plotVisOnly val="0"/>
    <c:dispBlanksAs val="gap"/>
  </c:chart>
  <c:spPr>
    <a:solidFill>
      <a:schemeClr val="bg1"/>
    </a:solidFill>
    <a:ln w="9525" cap="flat" cmpd="sng" algn="ctr">
      <a:solidFill>
        <a:schemeClr val="tx1">
          <a:lumMod val="15000"/>
          <a:lumOff val="85000"/>
        </a:schemeClr>
      </a:solidFill>
      <a:round/>
    </a:ln>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Revenue and Operating Income ($bn)</a:t>
            </a:r>
          </a:p>
        </c:rich>
      </c:tx>
      <c:overlay val="0"/>
      <c:spPr>
        <a:noFill/>
        <a:ln>
          <a:noFill/>
        </a:ln>
      </c:spPr>
    </c:title>
    <c:autoTitleDeleted val="0"/>
    <c:plotArea>
      <c:layout/>
      <c:barChart>
        <c:barDir val="col"/>
        <c:grouping val="clustered"/>
        <c:varyColors val="0"/>
        <c:ser>
          <c:idx val="0"/>
          <c:order val="0"/>
          <c:tx>
            <c:strRef>
              <c:f>Dashboard!$Q$1</c:f>
              <c:strCache>
                <c:ptCount val="1"/>
                <c:pt idx="0">
                  <c:v>Revenue ($bn)</c:v>
                </c:pt>
              </c:strCache>
            </c:strRef>
          </c:tx>
          <c:spPr>
            <a:solidFill>
              <a:srgbClr val="1F3864"/>
            </a:solidFill>
            <a:ln>
              <a:noFill/>
            </a:ln>
          </c:spPr>
          <c:invertIfNegative val="0"/>
          <c:cat>
            <c:strRef>
              <c:f>Dashboard!$P$2:$P$11</c:f>
              <c:strCache>
                <c:ptCount val="10"/>
                <c:pt idx="0">
                  <c:v>2022A</c:v>
                </c:pt>
                <c:pt idx="1">
                  <c:v>2023A</c:v>
                </c:pt>
                <c:pt idx="2">
                  <c:v>2024A</c:v>
                </c:pt>
                <c:pt idx="3">
                  <c:v>2025A</c:v>
                </c:pt>
                <c:pt idx="4">
                  <c:v>2026A</c:v>
                </c:pt>
                <c:pt idx="5">
                  <c:v>2027E</c:v>
                </c:pt>
                <c:pt idx="6">
                  <c:v>2028E</c:v>
                </c:pt>
                <c:pt idx="7">
                  <c:v>2029E</c:v>
                </c:pt>
                <c:pt idx="8">
                  <c:v>2030E</c:v>
                </c:pt>
                <c:pt idx="9">
                  <c:v>2031E</c:v>
                </c:pt>
              </c:strCache>
            </c:strRef>
          </c:cat>
          <c:val>
            <c:numRef>
              <c:f>Dashboard!$Q$2:$Q$11</c:f>
              <c:numCache>
                <c:formatCode>#,##0</c:formatCode>
                <c:ptCount val="10"/>
                <c:pt idx="0">
                  <c:v>198.27</c:v>
                </c:pt>
                <c:pt idx="1">
                  <c:v>211.915</c:v>
                </c:pt>
                <c:pt idx="2">
                  <c:v>245.122</c:v>
                </c:pt>
                <c:pt idx="3">
                  <c:v>281.724</c:v>
                </c:pt>
                <c:pt idx="4">
                  <c:v>331.839</c:v>
                </c:pt>
                <c:pt idx="5">
                  <c:v>390.02904</c:v>
                </c:pt>
                <c:pt idx="6">
                  <c:v>460.28555000000006</c:v>
                </c:pt>
                <c:pt idx="7">
                  <c:v>536.5148176080002</c:v>
                </c:pt>
                <c:pt idx="8">
                  <c:v>618.2188010162401</c:v>
                </c:pt>
                <c:pt idx="9">
                  <c:v>702.0272208777673</c:v>
                </c:pt>
              </c:numCache>
            </c:numRef>
          </c:val>
        </c:ser>
        <c:ser>
          <c:idx val="1"/>
          <c:order val="1"/>
          <c:tx>
            <c:strRef>
              <c:f>Dashboard!$R$1</c:f>
              <c:strCache>
                <c:ptCount val="1"/>
                <c:pt idx="0">
                  <c:v>Operating income ($bn)</c:v>
                </c:pt>
              </c:strCache>
            </c:strRef>
          </c:tx>
          <c:spPr>
            <a:solidFill>
              <a:srgbClr val="ED7D31"/>
            </a:solidFill>
            <a:ln>
              <a:noFill/>
            </a:ln>
          </c:spPr>
          <c:invertIfNegative val="0"/>
          <c:cat>
            <c:strRef>
              <c:f>Dashboard!$P$2:$P$11</c:f>
              <c:strCache>
                <c:ptCount val="10"/>
                <c:pt idx="0">
                  <c:v>2022A</c:v>
                </c:pt>
                <c:pt idx="1">
                  <c:v>2023A</c:v>
                </c:pt>
                <c:pt idx="2">
                  <c:v>2024A</c:v>
                </c:pt>
                <c:pt idx="3">
                  <c:v>2025A</c:v>
                </c:pt>
                <c:pt idx="4">
                  <c:v>2026A</c:v>
                </c:pt>
                <c:pt idx="5">
                  <c:v>2027E</c:v>
                </c:pt>
                <c:pt idx="6">
                  <c:v>2028E</c:v>
                </c:pt>
                <c:pt idx="7">
                  <c:v>2029E</c:v>
                </c:pt>
                <c:pt idx="8">
                  <c:v>2030E</c:v>
                </c:pt>
                <c:pt idx="9">
                  <c:v>2031E</c:v>
                </c:pt>
              </c:strCache>
            </c:strRef>
          </c:cat>
          <c:val>
            <c:numRef>
              <c:f>Dashboard!$R$2:$R$11</c:f>
              <c:numCache>
                <c:formatCode>#,##0</c:formatCode>
                <c:ptCount val="10"/>
                <c:pt idx="0">
                  <c:v>83.383</c:v>
                </c:pt>
                <c:pt idx="1">
                  <c:v>88.523</c:v>
                </c:pt>
                <c:pt idx="2">
                  <c:v>109.433</c:v>
                </c:pt>
                <c:pt idx="3">
                  <c:v>128.528</c:v>
                </c:pt>
                <c:pt idx="4">
                  <c:v>155.237</c:v>
                </c:pt>
                <c:pt idx="5">
                  <c:v>180.97347456000006</c:v>
                </c:pt>
                <c:pt idx="6">
                  <c:v>214.49306630000007</c:v>
                </c:pt>
                <c:pt idx="7">
                  <c:v>252.69847909336806</c:v>
                </c:pt>
                <c:pt idx="8">
                  <c:v>293.65393048271415</c:v>
                </c:pt>
                <c:pt idx="9">
                  <c:v>337.67509324220606</c:v>
                </c:pt>
              </c:numCache>
            </c:numRef>
          </c:val>
        </c:ser>
        <c:dLbls>
          <c:showLegendKey val="0"/>
          <c:showVal val="0"/>
          <c:showCatName val="0"/>
          <c:showSerName val="0"/>
          <c:showPercent val="0"/>
          <c:showBubbleSize val="0"/>
        </c:dLbls>
        <c:gapWidth val="80"/>
        <c:axId val="993282271"/>
        <c:axId val="875248271"/>
      </c:barChart>
      <c:catAx>
        <c:axId val="993282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a:t>Fiscal year</a:t>
                </a:r>
              </a:p>
            </c:rich>
          </c:tx>
          <c:overlay val="0"/>
          <c:spPr>
            <a:noFill/>
            <a:ln>
              <a:noFill/>
            </a:ln>
          </c:spPr>
        </c:title>
        <c:numFmt formatCode="General" sourceLinked="0"/>
        <c:majorTickMark val="none"/>
        <c:minorTickMark val="none"/>
        <c:tickLblPos val="low"/>
        <c:spPr>
          <a:noFill/>
          <a:ln w="9525" cap="flat" cmpd="sng" algn="ctr">
            <a:solidFill>
              <a:schemeClr val="tx1">
                <a:lumMod val="15000"/>
                <a:lumOff val="85000"/>
              </a:schemeClr>
            </a:solidFill>
            <a:roun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248271"/>
        <c:crosses val="autoZero"/>
        <c:auto val="1"/>
        <c:lblAlgn val="ctr"/>
        <c:lblOffset val="100"/>
        <c:noMultiLvlLbl val="0"/>
      </c:catAx>
      <c:valAx>
        <c:axId val="875248271"/>
        <c:scaling>
          <c:orientation val="minMax"/>
        </c:scaling>
        <c:delete val="0"/>
        <c:axPos val="l"/>
        <c:majorGridlines>
          <c:spPr>
            <a:ln w="9525" cap="flat" cmpd="sng" algn="ctr">
              <a:solidFill>
                <a:schemeClr val="tx1">
                  <a:lumMod val="15000"/>
                  <a:lumOff val="85000"/>
                </a:schemeClr>
              </a:solidFill>
              <a:round/>
            </a:ln>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a:t>$bn</a:t>
                </a:r>
              </a:p>
            </c:rich>
          </c:tx>
          <c:overlay val="0"/>
          <c:spPr>
            <a:noFill/>
            <a:ln>
              <a:noFill/>
            </a:ln>
          </c:spPr>
        </c:title>
        <c:numFmt formatCode="#,##0" sourceLinked="0"/>
        <c:majorTickMark val="none"/>
        <c:minorTickMark val="none"/>
        <c:tickLblPos val="nextTo"/>
        <c:spPr>
          <a:noFill/>
          <a:ln>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282271"/>
        <c:crosses val="autoZero"/>
        <c:crossBetween val="between"/>
      </c:valAx>
      <c:spPr>
        <a:noFill/>
        <a:ln>
          <a:noFill/>
        </a:ln>
      </c:spPr>
    </c:plotArea>
    <c:legend>
      <c:legendPos val="b"/>
      <c:overlay val="0"/>
      <c:spPr>
        <a:noFill/>
        <a:ln>
          <a:noFill/>
        </a:ln>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0"/>
    <c:dispBlanksAs val="gap"/>
  </c:chart>
  <c:spPr>
    <a:solidFill>
      <a:schemeClr val="bg1"/>
    </a:solidFill>
    <a:ln w="9525" cap="flat" cmpd="sng" algn="ctr">
      <a:solidFill>
        <a:schemeClr val="tx1">
          <a:lumMod val="15000"/>
          <a:lumOff val="85000"/>
        </a:schemeClr>
      </a:solidFill>
      <a:round/>
    </a:ln>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5292</xdr:colOff>
      <xdr:row>44</xdr:row>
      <xdr:rowOff>16932</xdr:rowOff>
    </xdr:from>
    <xdr:to>
      <xdr:col>14</xdr:col>
      <xdr:colOff>10583</xdr:colOff>
      <xdr:row>60</xdr:row>
      <xdr:rowOff>33866</xdr:rowOff>
    </xdr:to>
    <xdr:graphicFrame macro="">
      <xdr:nvGraphicFramePr>
        <xdr:cNvPr id="3" name="CapitalIntensity">
          <a:extLst>
            <a:ext uri="{FF2B5EF4-FFF2-40B4-BE49-F238E27FC236}">
              <a16:creationId xmlns:a16="http://schemas.microsoft.com/office/drawing/2014/main" id="{99DC7F7C-68AF-B045-5AD5-49D1ECBB13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61</xdr:row>
      <xdr:rowOff>34925</xdr:rowOff>
    </xdr:from>
    <xdr:to>
      <xdr:col>7</xdr:col>
      <xdr:colOff>5292</xdr:colOff>
      <xdr:row>78</xdr:row>
      <xdr:rowOff>52917</xdr:rowOff>
    </xdr:to>
    <xdr:graphicFrame macro="">
      <xdr:nvGraphicFramePr>
        <xdr:cNvPr id="4" name="CashFlowAndFCF">
          <a:extLst>
            <a:ext uri="{FF2B5EF4-FFF2-40B4-BE49-F238E27FC236}">
              <a16:creationId xmlns:a16="http://schemas.microsoft.com/office/drawing/2014/main" id="{CE0308DB-77AE-91A2-FABB-6C966F50C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5292</xdr:colOff>
      <xdr:row>61</xdr:row>
      <xdr:rowOff>34925</xdr:rowOff>
    </xdr:from>
    <xdr:to>
      <xdr:col>14</xdr:col>
      <xdr:colOff>10583</xdr:colOff>
      <xdr:row>78</xdr:row>
      <xdr:rowOff>52917</xdr:rowOff>
    </xdr:to>
    <xdr:graphicFrame macro="">
      <xdr:nvGraphicFramePr>
        <xdr:cNvPr id="5" name="ValuationComparison">
          <a:extLst>
            <a:ext uri="{FF2B5EF4-FFF2-40B4-BE49-F238E27FC236}">
              <a16:creationId xmlns:a16="http://schemas.microsoft.com/office/drawing/2014/main" id="{B33BDEF8-9A67-9F06-1B34-C6968B82A6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44</xdr:row>
      <xdr:rowOff>0</xdr:rowOff>
    </xdr:from>
    <xdr:to>
      <xdr:col>7</xdr:col>
      <xdr:colOff>0</xdr:colOff>
      <xdr:row>60</xdr:row>
      <xdr:rowOff>33866</xdr:rowOff>
    </xdr:to>
    <xdr:graphicFrame macro="">
      <xdr:nvGraphicFramePr>
        <xdr:cNvPr id="8" name="RevenueOperatingIncome">
          <a:extLst>
            <a:ext uri="{FF2B5EF4-FFF2-40B4-BE49-F238E27FC236}">
              <a16:creationId xmlns:a16="http://schemas.microsoft.com/office/drawing/2014/main" id="{30955192-E8AF-CA4E-7C18-B0D4001E2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Eden Kabanga" id="{A537508A-AC6F-4BEA-8593-57C27DF36E41}" userId="21ecf0485f30a072"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5">
  <a r="1">
    <v t="i">0</v>
  </a>
  <a r="1">
    <v>497.41</v>
  </a>
  <a r="1">
    <v>446.95</v>
  </a>
  <a r="1">
    <v>340.54</v>
  </a>
  <a r="1">
    <v>256.83</v>
  </a>
</arrayData>
</file>

<file path=xl/richData/rdrichvalue.xml><?xml version="1.0" encoding="utf-8"?>
<rvData xmlns="http://schemas.microsoft.com/office/spreadsheetml/2017/richdata" count="8">
  <rv s="0">
    <fb>256.83</fb>
    <v>0</v>
  </rv>
  <rv s="0">
    <fb>340.54</fb>
    <v>0</v>
  </rv>
  <rv s="0">
    <fb>446.95</fb>
    <v>0</v>
  </rv>
  <rv s="0">
    <fb>497.41</fb>
    <v>0</v>
  </rv>
  <rv s="1">
    <v>1</v>
    <v>MSFT</v>
    <v>Daily</v>
    <v>45838</v>
    <v>45838</v>
    <v>0</v>
    <v>1</v>
    <v>638868384000000000,639287257207036806,0</v>
    <v>0</v>
    <v>a1xzim</v>
    <v>XNAS:MSFT</v>
    <v>1</v>
  </rv>
  <rv s="1">
    <v>1</v>
    <v>MSFT</v>
    <v>Daily</v>
    <v>45471</v>
    <v>45471</v>
    <v>0</v>
    <v>1</v>
    <v>638551296000000000,639287257207420044,0</v>
    <v>0</v>
    <v>a1xzim</v>
    <v>XNAS:MSFT</v>
    <v>2</v>
  </rv>
  <rv s="1">
    <v>1</v>
    <v>MSFT</v>
    <v>Daily</v>
    <v>45107</v>
    <v>45107</v>
    <v>0</v>
    <v>1</v>
    <v>638236800000000000,639287257207806811,0</v>
    <v>0</v>
    <v>a1xzim</v>
    <v>XNAS:MSFT</v>
    <v>3</v>
  </rv>
  <rv s="1">
    <v>1</v>
    <v>MSFT</v>
    <v>Daily</v>
    <v>44742</v>
    <v>44742</v>
    <v>0</v>
    <v>1</v>
    <v>637921440000000000,639287257208196791,0</v>
    <v>0</v>
    <v>a1xzim</v>
    <v>XNAS:MSFT</v>
    <v>4</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2">
    <spb s="0">
      <v>1</v>
    </spb>
    <spb s="1">
      <v>2</v>
      <v>1</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19" formatCode="m/d/yyyy"/>
    </x:dxf>
    <x:dxf>
      <x:numFmt numFmtId="0" formatCode="General"/>
    </x:dxf>
  </dxfs>
  <richProperties>
    <rPr n="NumberFormat" t="s"/>
  </richProperties>
  <richStyles>
    <rSty dxfid="1">
      <rpv i="0">_([$$-en-US]* #,##0.00_);_([$$-en-US]* (#,##0.00);_([$$-en-US]* "-"??_);_(@_)</rpv>
    </rSty>
    <rSty dxfid="0"/>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5" dT="2026-10-28T14:01:12.81" personId="{A537508A-AC6F-4BEA-8593-57C27DF36E41}" id="{F1FC5FF1-863E-4161-8C44-EAD247678EEE}">
    <text>Microsoft FY2026 values from the integrated workbook and Microsoft FY2026 Form 10-K. Market capitalization dated 27-Oct-2026.</text>
  </threadedComment>
  <threadedComment ref="E5" dT="2026-10-28T14:01:12.86" personId="{A537508A-AC6F-4BEA-8593-57C27DF36E41}" id="{15D15EB4-52C6-4EB5-9825-2F305C409915}">
    <text>Microsoft FY2026 values from the integrated workbook and Microsoft FY2026 Form 10-K. Market capitalization dated 27-Oct-2026.</text>
  </threadedComment>
  <threadedComment ref="G5" dT="2026-10-28T14:01:12.89" personId="{A537508A-AC6F-4BEA-8593-57C27DF36E41}" id="{2ADF43C0-26A0-47F2-A43C-BF525C33A837}">
    <text>Microsoft FY2026 values from the integrated workbook and Microsoft FY2026 Form 10-K. Market capitalization dated 27-Oct-2026.</text>
  </threadedComment>
  <threadedComment ref="H5" dT="2026-10-28T14:01:12.93" personId="{A537508A-AC6F-4BEA-8593-57C27DF36E41}" id="{5F07E91C-637C-4529-823E-D816128676D1}">
    <text>Microsoft FY2026 values from the integrated workbook and Microsoft FY2026 Form 10-K. Market capitalization dated 27-Oct-2026.</text>
  </threadedComment>
  <threadedComment ref="I5" dT="2026-10-28T14:01:12.96" personId="{A537508A-AC6F-4BEA-8593-57C27DF36E41}" id="{3783D415-5D1B-4CEC-B101-B8276475221A}">
    <text>Microsoft FY2026 values from the integrated workbook and Microsoft FY2026 Form 10-K. Market capitalization dated 27-Oct-2026.</text>
  </threadedComment>
  <threadedComment ref="K5" dT="2026-10-28T14:01:13.00" personId="{A537508A-AC6F-4BEA-8593-57C27DF36E41}" id="{AB166DEA-5248-4FB0-AF16-7E25EDF6F18F}">
    <text>Microsoft FY2026 values from the integrated workbook and Microsoft FY2026 Form 10-K. Market capitalization dated 27-Oct-2026.</text>
  </threadedComment>
  <threadedComment ref="L5" dT="2026-10-28T14:01:13.03" personId="{A537508A-AC6F-4BEA-8593-57C27DF36E41}" id="{5B149F2D-720A-448E-8FC2-29CDF0259A4D}">
    <text>Microsoft FY2026 values from the integrated workbook and Microsoft FY2026 Form 10-K. Market capitalization dated 27-Oct-2026.</text>
  </threadedComment>
  <threadedComment ref="M5" dT="2026-10-28T14:01:13.06" personId="{A537508A-AC6F-4BEA-8593-57C27DF36E41}" id="{11CFD00B-68D3-4A1C-ADF0-FF43DBBF8709}">
    <text>Microsoft FY2026 values from the integrated workbook and Microsoft FY2026 Form 10-K. Market capitalization dated 27-Oct-2026.</text>
  </threadedComment>
  <threadedComment ref="D6" dT="2026-10-28T14:01:13.11" personId="{A537508A-AC6F-4BEA-8593-57C27DF36E41}" id="{606FE74E-7669-44BC-A24B-B0079D75FFE1}">
    <text>Alphabet FY2025 Form 10-K. Market capitalization dated 27-Oct-2026.</text>
  </threadedComment>
  <threadedComment ref="E6" dT="2026-10-28T14:01:13.15" personId="{A537508A-AC6F-4BEA-8593-57C27DF36E41}" id="{363BEA9E-C50B-4C1C-BE76-9C48D39E6459}">
    <text>Alphabet FY2025 Form 10-K. Market capitalization dated 27-Oct-2026.</text>
  </threadedComment>
  <threadedComment ref="G6" dT="2026-10-28T14:01:13.18" personId="{A537508A-AC6F-4BEA-8593-57C27DF36E41}" id="{50AFAF7E-0C67-4C04-A590-755B2FC1FF39}">
    <text>Alphabet FY2025 Form 10-K. Market capitalization dated 27-Oct-2026.</text>
  </threadedComment>
  <threadedComment ref="H6" dT="2026-10-28T14:01:13.22" personId="{A537508A-AC6F-4BEA-8593-57C27DF36E41}" id="{06BAD3F6-DAAF-43F6-B2DF-68F8CD67A1A7}">
    <text>Alphabet FY2025 Form 10-K. Market capitalization dated 27-Oct-2026.</text>
  </threadedComment>
  <threadedComment ref="I6" dT="2026-10-28T14:01:13.26" personId="{A537508A-AC6F-4BEA-8593-57C27DF36E41}" id="{08FEA8A7-4804-4552-B8FD-47643DE57E6B}">
    <text>Alphabet FY2025 Form 10-K. Market capitalization dated 27-Oct-2026.</text>
  </threadedComment>
  <threadedComment ref="K6" dT="2026-10-28T14:01:13.30" personId="{A537508A-AC6F-4BEA-8593-57C27DF36E41}" id="{E7E3C610-DAE1-460C-A6A8-98FCB587593B}">
    <text>Alphabet FY2025 Form 10-K. Market capitalization dated 27-Oct-2026.</text>
  </threadedComment>
  <threadedComment ref="L6" dT="2026-10-28T14:01:13.34" personId="{A537508A-AC6F-4BEA-8593-57C27DF36E41}" id="{399BBDA1-8AD5-49DA-87BE-C07302564AF5}">
    <text>Alphabet FY2025 Form 10-K. Market capitalization dated 27-Oct-2026.</text>
  </threadedComment>
  <threadedComment ref="M6" dT="2026-10-28T14:01:13.38" personId="{A537508A-AC6F-4BEA-8593-57C27DF36E41}" id="{1ACB4E8C-B79A-4F62-98A9-B6C81160D1F2}">
    <text>Alphabet FY2025 Form 10-K. Market capitalization dated 27-Oct-2026.</text>
  </threadedComment>
  <threadedComment ref="D7" dT="2026-10-28T14:01:13.42" personId="{A537508A-AC6F-4BEA-8593-57C27DF36E41}" id="{00CB60F7-3337-4513-AEBB-7BE8F331B764}">
    <text>Amazon FY2025 Form 10-K. Total net debt includes debt-like lease obligations. Market capitalization dated 27-Oct-2026.</text>
  </threadedComment>
  <threadedComment ref="E7" dT="2026-10-28T14:01:13.46" personId="{A537508A-AC6F-4BEA-8593-57C27DF36E41}" id="{DD08C17E-94BE-4177-8872-5E86E589200A}">
    <text>Amazon FY2025 Form 10-K. Total net debt includes debt-like lease obligations. Market capitalization dated 27-Oct-2026.</text>
  </threadedComment>
  <threadedComment ref="G7" dT="2026-10-28T14:01:13.50" personId="{A537508A-AC6F-4BEA-8593-57C27DF36E41}" id="{86B7981D-688A-4D05-9520-FD7A119AB920}">
    <text>Amazon FY2025 Form 10-K. Total net debt includes debt-like lease obligations. Market capitalization dated 27-Oct-2026.</text>
  </threadedComment>
  <threadedComment ref="H7" dT="2026-10-28T14:01:13.55" personId="{A537508A-AC6F-4BEA-8593-57C27DF36E41}" id="{1A1E75B6-4071-47F7-A8C2-C2EF698FD736}">
    <text>Amazon FY2025 Form 10-K. Total net debt includes debt-like lease obligations. Market capitalization dated 27-Oct-2026.</text>
  </threadedComment>
  <threadedComment ref="I7" dT="2026-10-28T14:01:13.60" personId="{A537508A-AC6F-4BEA-8593-57C27DF36E41}" id="{AA429070-435B-461B-818B-4657E032CC0A}">
    <text>Amazon FY2025 Form 10-K. Total net debt includes debt-like lease obligations. Market capitalization dated 27-Oct-2026.</text>
  </threadedComment>
  <threadedComment ref="K7" dT="2026-10-28T14:01:13.64" personId="{A537508A-AC6F-4BEA-8593-57C27DF36E41}" id="{5E25B9D2-1711-4908-97E0-5853CEEE026F}">
    <text>Amazon FY2025 Form 10-K. Total net debt includes debt-like lease obligations. Market capitalization dated 27-Oct-2026.</text>
  </threadedComment>
  <threadedComment ref="L7" dT="2026-10-28T14:01:13.69" personId="{A537508A-AC6F-4BEA-8593-57C27DF36E41}" id="{3717B84C-7337-423C-B69B-BA4A757CF51B}">
    <text>Amazon FY2025 Form 10-K. Total net debt includes debt-like lease obligations. Market capitalization dated 27-Oct-2026.</text>
  </threadedComment>
  <threadedComment ref="M7" dT="2026-10-28T14:01:13.74" personId="{A537508A-AC6F-4BEA-8593-57C27DF36E41}" id="{29A9D28D-3A5F-4A27-94C0-203ADBF415A3}">
    <text>Amazon FY2025 Form 10-K. Total net debt includes debt-like lease obligations. Market capitalization dated 27-Oct-2026.</text>
  </threadedComment>
  <threadedComment ref="D8" dT="2026-10-28T14:01:13.79" personId="{A537508A-AC6F-4BEA-8593-57C27DF36E41}" id="{69AFEA9A-9ED7-42C3-B869-0CF3FEDA3908}">
    <text>Oracle FY2026 Form 10-K and FY2026 results. FCF is negative due to $55.7 billion cash capital expenditures. Market capitalization dated 27-Oct-2026.</text>
  </threadedComment>
  <threadedComment ref="E8" dT="2026-10-28T14:01:13.83" personId="{A537508A-AC6F-4BEA-8593-57C27DF36E41}" id="{25FBDDC6-95FC-4671-A616-39F962AF115E}">
    <text>Oracle FY2026 Form 10-K and FY2026 results. FCF is negative due to $55.7 billion cash capital expenditures. Market capitalization dated 27-Oct-2026.</text>
  </threadedComment>
  <threadedComment ref="G8" dT="2026-10-28T14:01:13.88" personId="{A537508A-AC6F-4BEA-8593-57C27DF36E41}" id="{9C9842A3-1231-4956-8523-D8BB8CFF9A1D}">
    <text>Oracle FY2026 Form 10-K and FY2026 results. FCF is negative due to $55.7 billion cash capital expenditures. Market capitalization dated 27-Oct-2026.</text>
  </threadedComment>
  <threadedComment ref="H8" dT="2026-10-28T14:01:13.92" personId="{A537508A-AC6F-4BEA-8593-57C27DF36E41}" id="{255A7380-3430-4F6D-BF47-5EAE712504D5}">
    <text>Oracle FY2026 Form 10-K and FY2026 results. FCF is negative due to $55.7 billion cash capital expenditures. Market capitalization dated 27-Oct-2026.</text>
  </threadedComment>
  <threadedComment ref="I8" dT="2026-10-28T14:01:13.96" personId="{A537508A-AC6F-4BEA-8593-57C27DF36E41}" id="{EEF2701C-610B-484B-B548-37306352E6D6}">
    <text>Oracle FY2026 Form 10-K and FY2026 results. FCF is negative due to $55.7 billion cash capital expenditures. Market capitalization dated 27-Oct-2026.</text>
  </threadedComment>
  <threadedComment ref="K8" dT="2026-10-28T14:01:14.01" personId="{A537508A-AC6F-4BEA-8593-57C27DF36E41}" id="{38CE79E6-E51F-4899-A056-354A0CFD36AE}">
    <text>Oracle FY2026 Form 10-K and FY2026 results. FCF is negative due to $55.7 billion cash capital expenditures. Market capitalization dated 27-Oct-2026.</text>
  </threadedComment>
  <threadedComment ref="L8" dT="2026-10-28T14:01:14.05" personId="{A537508A-AC6F-4BEA-8593-57C27DF36E41}" id="{ADDCBD62-9885-4BD3-A333-EA15C609EED0}">
    <text>Oracle FY2026 Form 10-K and FY2026 results. FCF is negative due to $55.7 billion cash capital expenditures. Market capitalization dated 27-Oct-2026.</text>
  </threadedComment>
  <threadedComment ref="M8" dT="2026-10-28T14:01:14.10" personId="{A537508A-AC6F-4BEA-8593-57C27DF36E41}" id="{D2763A06-91DD-4E84-9D68-D80D177673D4}">
    <text>Oracle FY2026 Form 10-K and FY2026 results. FCF is negative due to $55.7 billion cash capital expenditures. Market capitalization dated 27-Oct-2026.</text>
  </threadedComment>
  <threadedComment ref="D9" dT="2026-10-28T14:01:14.13" personId="{A537508A-AC6F-4BEA-8593-57C27DF36E41}" id="{7A2150E2-A384-4071-BB57-E483FAEEC200}">
    <text>Salesforce FY2026 Form 10-K and FY2026 results. Market capitalization dated 27-Oct-2026.</text>
  </threadedComment>
  <threadedComment ref="E9" dT="2026-10-28T14:01:14.20" personId="{A537508A-AC6F-4BEA-8593-57C27DF36E41}" id="{4E24A5C1-1907-4F99-993E-D9B78C0DEBCD}">
    <text>Salesforce FY2026 Form 10-K and FY2026 results. Market capitalization dated 27-Oct-2026.</text>
  </threadedComment>
  <threadedComment ref="G9" dT="2026-10-28T14:01:14.24" personId="{A537508A-AC6F-4BEA-8593-57C27DF36E41}" id="{06304B23-AFFF-422F-A5C2-F8BE51D5A1B0}">
    <text>Salesforce FY2026 Form 10-K and FY2026 results. Market capitalization dated 27-Oct-2026.</text>
  </threadedComment>
  <threadedComment ref="H9" dT="2026-10-28T14:01:14.29" personId="{A537508A-AC6F-4BEA-8593-57C27DF36E41}" id="{2F45F4E9-C06F-486F-AD68-779DE580B2DE}">
    <text>Salesforce FY2026 Form 10-K and FY2026 results. Market capitalization dated 27-Oct-2026.</text>
  </threadedComment>
  <threadedComment ref="I9" dT="2026-10-28T14:01:14.34" personId="{A537508A-AC6F-4BEA-8593-57C27DF36E41}" id="{03680FAA-B60D-4447-9730-E78C5940E9F2}">
    <text>Salesforce FY2026 Form 10-K and FY2026 results. Market capitalization dated 27-Oct-2026.</text>
  </threadedComment>
  <threadedComment ref="K9" dT="2026-10-28T14:01:14.39" personId="{A537508A-AC6F-4BEA-8593-57C27DF36E41}" id="{B761475E-3D69-421A-A56A-99037E52A021}">
    <text>Salesforce FY2026 Form 10-K and FY2026 results. Market capitalization dated 27-Oct-2026.</text>
  </threadedComment>
  <threadedComment ref="L9" dT="2026-10-28T14:01:14.44" personId="{A537508A-AC6F-4BEA-8593-57C27DF36E41}" id="{A1659AE7-4BB2-45ED-BDDA-36A143DE84D0}">
    <text>Salesforce FY2026 Form 10-K and FY2026 results. Market capitalization dated 27-Oct-2026.</text>
  </threadedComment>
  <threadedComment ref="M9" dT="2026-10-28T14:01:14.48" personId="{A537508A-AC6F-4BEA-8593-57C27DF36E41}" id="{6BE0DEE3-C32B-438E-BE49-26B680E0B980}">
    <text>Salesforce FY2026 Form 10-K and FY2026 results. Market capitalization dated 27-Oct-2026.</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F280C29-050E-4FCE-9E55-91B8CFCE2291}">
  <we:reference id="wa200010215" version="2.0.0.1" store="en-US" storeType="OMEX"/>
  <we:alternateReferences>
    <we:reference id="wa200010215" version="2.0.0.1" store="wa200010215" storeType="OMEX"/>
  </we:alternateReferences>
  <we:properties>
    <we:property name="bps.codex_control.document_id" value="&quot;408602c0-b786-4cde-ad93-768c3074d7c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71A2-32FE-45FD-8C76-5CDD6A381785}">
  <dimension ref="A1:H55"/>
  <sheetViews>
    <sheetView tabSelected="1" showGridLines="0" zoomScale="85" zoomScaleNormal="85" workbookViewId="0">
      <selection activeCell="A1" sqref="A1"/>
    </sheetView>
  </sheetViews>
  <sheetFormatPr defaultRowHeight="14.5" x14ac:dyDescent="0.35"/>
  <cols>
    <col min="1" max="1" width="30" customWidth="1"/>
    <col min="2" max="4" width="19.08984375" customWidth="1"/>
    <col min="5" max="5" width="33.6328125" customWidth="1"/>
    <col min="6" max="8" width="19.08984375" customWidth="1"/>
  </cols>
  <sheetData>
    <row r="1" spans="1:8" ht="30" customHeight="1" x14ac:dyDescent="0.5">
      <c r="A1" s="367" t="s">
        <v>945</v>
      </c>
      <c r="B1" s="367"/>
      <c r="C1" s="367"/>
      <c r="D1" s="367"/>
      <c r="E1" s="367"/>
      <c r="F1" s="367"/>
      <c r="G1" s="367"/>
      <c r="H1" s="367"/>
    </row>
    <row r="2" spans="1:8" ht="16.5" x14ac:dyDescent="0.35">
      <c r="A2" s="368" t="s">
        <v>946</v>
      </c>
      <c r="B2" s="368"/>
      <c r="C2" s="368"/>
      <c r="D2" s="368"/>
      <c r="E2" s="368"/>
      <c r="F2" s="368"/>
      <c r="G2" s="368"/>
      <c r="H2" s="368"/>
    </row>
    <row r="3" spans="1:8" x14ac:dyDescent="0.35">
      <c r="A3" s="369" t="s">
        <v>1124</v>
      </c>
      <c r="B3" s="369"/>
      <c r="C3" s="369"/>
      <c r="D3" s="369"/>
      <c r="E3" s="369"/>
      <c r="F3" s="369"/>
      <c r="G3" s="369"/>
      <c r="H3" s="369"/>
    </row>
    <row r="4" spans="1:8" x14ac:dyDescent="0.35">
      <c r="A4" s="5"/>
      <c r="B4" s="5"/>
      <c r="C4" s="5"/>
      <c r="D4" s="5"/>
      <c r="E4" s="5"/>
      <c r="F4" s="5"/>
      <c r="G4" s="5"/>
      <c r="H4" s="5"/>
    </row>
    <row r="5" spans="1:8" ht="22" customHeight="1" x14ac:dyDescent="0.35">
      <c r="A5" s="363" t="s">
        <v>947</v>
      </c>
      <c r="B5" s="363"/>
      <c r="C5" s="363"/>
      <c r="D5" s="363"/>
      <c r="E5" s="363" t="s">
        <v>957</v>
      </c>
      <c r="F5" s="363"/>
      <c r="G5" s="363"/>
      <c r="H5" s="363"/>
    </row>
    <row r="6" spans="1:8" ht="22" customHeight="1" x14ac:dyDescent="0.35">
      <c r="A6" s="108" t="s">
        <v>605</v>
      </c>
      <c r="B6" s="356" t="s">
        <v>952</v>
      </c>
      <c r="C6" s="356"/>
      <c r="D6" s="356"/>
      <c r="E6" s="356" t="s">
        <v>958</v>
      </c>
      <c r="F6" s="356"/>
      <c r="G6" s="356"/>
      <c r="H6" s="356"/>
    </row>
    <row r="7" spans="1:8" ht="22" customHeight="1" x14ac:dyDescent="0.35">
      <c r="A7" s="108" t="s">
        <v>948</v>
      </c>
      <c r="B7" s="356" t="s">
        <v>953</v>
      </c>
      <c r="C7" s="356"/>
      <c r="D7" s="356"/>
      <c r="E7" s="356" t="s">
        <v>959</v>
      </c>
      <c r="F7" s="356"/>
      <c r="G7" s="356"/>
      <c r="H7" s="356"/>
    </row>
    <row r="8" spans="1:8" ht="22" customHeight="1" x14ac:dyDescent="0.35">
      <c r="A8" s="108" t="s">
        <v>949</v>
      </c>
      <c r="B8" s="356" t="s">
        <v>954</v>
      </c>
      <c r="C8" s="356"/>
      <c r="D8" s="356"/>
      <c r="E8" s="356" t="s">
        <v>960</v>
      </c>
      <c r="F8" s="356"/>
      <c r="G8" s="356"/>
      <c r="H8" s="356"/>
    </row>
    <row r="9" spans="1:8" ht="34" customHeight="1" x14ac:dyDescent="0.35">
      <c r="A9" s="108" t="s">
        <v>950</v>
      </c>
      <c r="B9" s="356" t="s">
        <v>955</v>
      </c>
      <c r="C9" s="356"/>
      <c r="D9" s="356"/>
      <c r="E9" s="356" t="s">
        <v>961</v>
      </c>
      <c r="F9" s="356"/>
      <c r="G9" s="356"/>
      <c r="H9" s="356"/>
    </row>
    <row r="10" spans="1:8" ht="42" customHeight="1" x14ac:dyDescent="0.35">
      <c r="A10" s="108" t="s">
        <v>951</v>
      </c>
      <c r="B10" s="356" t="s">
        <v>956</v>
      </c>
      <c r="C10" s="356"/>
      <c r="D10" s="356"/>
      <c r="E10" s="356" t="s">
        <v>962</v>
      </c>
      <c r="F10" s="356"/>
      <c r="G10" s="356"/>
      <c r="H10" s="356"/>
    </row>
    <row r="11" spans="1:8" x14ac:dyDescent="0.35">
      <c r="A11" s="5"/>
      <c r="B11" s="5"/>
      <c r="C11" s="5"/>
      <c r="D11" s="5"/>
      <c r="E11" s="5"/>
      <c r="F11" s="5"/>
      <c r="G11" s="5"/>
      <c r="H11" s="5"/>
    </row>
    <row r="12" spans="1:8" ht="22" customHeight="1" x14ac:dyDescent="0.35">
      <c r="A12" s="363" t="s">
        <v>963</v>
      </c>
      <c r="B12" s="363"/>
      <c r="C12" s="363"/>
      <c r="D12" s="363"/>
      <c r="E12" s="363" t="s">
        <v>973</v>
      </c>
      <c r="F12" s="363"/>
      <c r="G12" s="363"/>
      <c r="H12" s="363"/>
    </row>
    <row r="13" spans="1:8" ht="22" customHeight="1" x14ac:dyDescent="0.35">
      <c r="A13" s="5" t="s">
        <v>964</v>
      </c>
      <c r="B13" s="302" t="str">
        <f>HYPERLINK("#'Dashboard'!A1","Open")</f>
        <v>Open</v>
      </c>
      <c r="C13" s="5"/>
      <c r="D13" s="5"/>
      <c r="E13" s="108" t="s">
        <v>974</v>
      </c>
      <c r="F13" s="360" t="s">
        <v>981</v>
      </c>
      <c r="G13" s="360"/>
      <c r="H13" s="360"/>
    </row>
    <row r="14" spans="1:8" ht="22" customHeight="1" x14ac:dyDescent="0.35">
      <c r="A14" s="5" t="s">
        <v>965</v>
      </c>
      <c r="B14" s="302" t="str">
        <f>HYPERLINK("#'Fin Statement'!A1","Open")</f>
        <v>Open</v>
      </c>
      <c r="C14" s="5"/>
      <c r="D14" s="5"/>
      <c r="E14" s="108" t="s">
        <v>975</v>
      </c>
      <c r="F14" s="358" t="s">
        <v>982</v>
      </c>
      <c r="G14" s="358"/>
      <c r="H14" s="358"/>
    </row>
    <row r="15" spans="1:8" ht="22" customHeight="1" x14ac:dyDescent="0.35">
      <c r="A15" s="5" t="s">
        <v>966</v>
      </c>
      <c r="B15" s="302" t="str">
        <f>HYPERLINK("#'Common Size&amp;Ratio'!A1","Open")</f>
        <v>Open</v>
      </c>
      <c r="C15" s="5"/>
      <c r="D15" s="5"/>
      <c r="E15" s="108" t="s">
        <v>976</v>
      </c>
      <c r="F15" s="361" t="s">
        <v>983</v>
      </c>
      <c r="G15" s="361"/>
      <c r="H15" s="361"/>
    </row>
    <row r="16" spans="1:8" ht="22" customHeight="1" x14ac:dyDescent="0.35">
      <c r="A16" s="5" t="s">
        <v>517</v>
      </c>
      <c r="B16" s="302" t="str">
        <f>HYPERLINK("#'Trend Analysis'!A1","Open")</f>
        <v>Open</v>
      </c>
      <c r="C16" s="5"/>
      <c r="D16" s="5"/>
      <c r="E16" s="108" t="s">
        <v>977</v>
      </c>
      <c r="F16" s="362" t="s">
        <v>984</v>
      </c>
      <c r="G16" s="362"/>
      <c r="H16" s="362"/>
    </row>
    <row r="17" spans="1:8" ht="22" customHeight="1" x14ac:dyDescent="0.35">
      <c r="A17" s="5" t="s">
        <v>518</v>
      </c>
      <c r="B17" s="302" t="str">
        <f>HYPERLINK("#'Assumptions'!A1","Open")</f>
        <v>Open</v>
      </c>
      <c r="C17" s="5"/>
      <c r="D17" s="5"/>
      <c r="E17" s="108" t="s">
        <v>669</v>
      </c>
      <c r="F17" s="357" t="s">
        <v>985</v>
      </c>
      <c r="G17" s="357"/>
      <c r="H17" s="357"/>
    </row>
    <row r="18" spans="1:8" ht="22" customHeight="1" x14ac:dyDescent="0.35">
      <c r="A18" s="5" t="s">
        <v>967</v>
      </c>
      <c r="B18" s="302" t="str">
        <f>HYPERLINK("#'3 statement Model'!A1","Open")</f>
        <v>Open</v>
      </c>
      <c r="C18" s="5"/>
      <c r="D18" s="5"/>
      <c r="E18" s="108" t="s">
        <v>978</v>
      </c>
      <c r="F18" s="357" t="s">
        <v>986</v>
      </c>
      <c r="G18" s="357"/>
      <c r="H18" s="357"/>
    </row>
    <row r="19" spans="1:8" ht="22" customHeight="1" x14ac:dyDescent="0.35">
      <c r="A19" s="5" t="s">
        <v>968</v>
      </c>
      <c r="B19" s="302" t="str">
        <f>HYPERLINK("#'DCF'!A1","Open")</f>
        <v>Open</v>
      </c>
      <c r="C19" s="5"/>
      <c r="D19" s="5"/>
      <c r="E19" s="108" t="s">
        <v>979</v>
      </c>
      <c r="F19" s="357" t="s">
        <v>987</v>
      </c>
      <c r="G19" s="357"/>
      <c r="H19" s="357"/>
    </row>
    <row r="20" spans="1:8" ht="22" customHeight="1" x14ac:dyDescent="0.35">
      <c r="A20" s="5" t="s">
        <v>969</v>
      </c>
      <c r="B20" s="302" t="str">
        <f>HYPERLINK("#'Valuation Sensitivities'!A1","Open")</f>
        <v>Open</v>
      </c>
      <c r="C20" s="5"/>
      <c r="D20" s="5"/>
      <c r="E20" s="108" t="s">
        <v>980</v>
      </c>
      <c r="F20" s="357" t="s">
        <v>988</v>
      </c>
      <c r="G20" s="357"/>
      <c r="H20" s="357"/>
    </row>
    <row r="21" spans="1:8" ht="22" customHeight="1" x14ac:dyDescent="0.35">
      <c r="A21" s="5" t="s">
        <v>970</v>
      </c>
      <c r="B21" s="302" t="str">
        <f>HYPERLINK("#'Trading Comps'!A1","Open")</f>
        <v>Open</v>
      </c>
      <c r="C21" s="5"/>
      <c r="D21" s="5"/>
      <c r="E21" s="108" t="s">
        <v>892</v>
      </c>
      <c r="F21" s="357" t="s">
        <v>989</v>
      </c>
      <c r="G21" s="357"/>
      <c r="H21" s="357"/>
    </row>
    <row r="22" spans="1:8" ht="22" customHeight="1" x14ac:dyDescent="0.35">
      <c r="A22" s="5" t="s">
        <v>185</v>
      </c>
      <c r="B22" s="302" t="str">
        <f>HYPERLINK("#'WACC'!A1","Open")</f>
        <v>Open</v>
      </c>
      <c r="C22" s="5"/>
      <c r="D22" s="5"/>
      <c r="E22" s="5"/>
      <c r="F22" s="5"/>
      <c r="G22" s="5"/>
      <c r="H22" s="5"/>
    </row>
    <row r="23" spans="1:8" ht="22" customHeight="1" x14ac:dyDescent="0.35">
      <c r="A23" s="5" t="s">
        <v>971</v>
      </c>
      <c r="B23" s="302" t="str">
        <f>HYPERLINK("#'Beta'!A1","Open")</f>
        <v>Open</v>
      </c>
      <c r="C23" s="5"/>
      <c r="D23" s="5"/>
      <c r="E23" s="5"/>
      <c r="F23" s="5"/>
      <c r="G23" s="5"/>
      <c r="H23" s="5"/>
    </row>
    <row r="24" spans="1:8" ht="22" customHeight="1" x14ac:dyDescent="0.35">
      <c r="A24" s="5" t="s">
        <v>972</v>
      </c>
      <c r="B24" s="302" t="str">
        <f>HYPERLINK("#'Sources &amp; Definitions'!A1","Open")</f>
        <v>Open</v>
      </c>
      <c r="C24" s="5"/>
      <c r="D24" s="5"/>
      <c r="E24" s="5"/>
      <c r="F24" s="5"/>
      <c r="G24" s="5"/>
      <c r="H24" s="5"/>
    </row>
    <row r="25" spans="1:8" x14ac:dyDescent="0.35">
      <c r="A25" s="5"/>
      <c r="B25" s="5"/>
      <c r="C25" s="5"/>
      <c r="D25" s="5"/>
      <c r="E25" s="5"/>
      <c r="F25" s="5"/>
      <c r="G25" s="5"/>
      <c r="H25" s="5"/>
    </row>
    <row r="26" spans="1:8" x14ac:dyDescent="0.35">
      <c r="A26" s="5"/>
      <c r="B26" s="5"/>
      <c r="C26" s="5"/>
      <c r="D26" s="5"/>
      <c r="E26" s="5"/>
      <c r="F26" s="5"/>
      <c r="G26" s="5"/>
      <c r="H26" s="5"/>
    </row>
    <row r="27" spans="1:8" ht="22" customHeight="1" x14ac:dyDescent="0.35">
      <c r="A27" s="363" t="s">
        <v>990</v>
      </c>
      <c r="B27" s="363"/>
      <c r="C27" s="363"/>
      <c r="D27" s="363"/>
      <c r="E27" s="363" t="s">
        <v>994</v>
      </c>
      <c r="F27" s="363"/>
      <c r="G27" s="363"/>
      <c r="H27" s="363"/>
    </row>
    <row r="28" spans="1:8" ht="34" customHeight="1" x14ac:dyDescent="0.35">
      <c r="A28" s="108" t="s">
        <v>891</v>
      </c>
      <c r="B28" s="358" t="str">
        <f>Assumptions!M2</f>
        <v>Base</v>
      </c>
      <c r="C28" s="358"/>
      <c r="D28" s="358"/>
      <c r="E28" s="109" t="s">
        <v>995</v>
      </c>
      <c r="F28" s="356" t="s">
        <v>1001</v>
      </c>
      <c r="G28" s="356"/>
      <c r="H28" s="356"/>
    </row>
    <row r="29" spans="1:8" ht="34" customHeight="1" x14ac:dyDescent="0.35">
      <c r="A29" s="108" t="s">
        <v>573</v>
      </c>
      <c r="B29" s="359">
        <f>DCF!E13</f>
        <v>531.33000000000004</v>
      </c>
      <c r="C29" s="359"/>
      <c r="D29" s="359"/>
      <c r="E29" s="109" t="s">
        <v>996</v>
      </c>
      <c r="F29" s="356" t="s">
        <v>1002</v>
      </c>
      <c r="G29" s="356"/>
      <c r="H29" s="356"/>
    </row>
    <row r="30" spans="1:8" ht="34" customHeight="1" x14ac:dyDescent="0.35">
      <c r="A30" s="108" t="s">
        <v>991</v>
      </c>
      <c r="B30" s="359">
        <f>DCF!E55</f>
        <v>403.26434317389527</v>
      </c>
      <c r="C30" s="359"/>
      <c r="D30" s="359"/>
      <c r="E30" s="109" t="s">
        <v>997</v>
      </c>
      <c r="F30" s="356" t="s">
        <v>1003</v>
      </c>
      <c r="G30" s="356"/>
      <c r="H30" s="356"/>
    </row>
    <row r="31" spans="1:8" ht="34" customHeight="1" x14ac:dyDescent="0.35">
      <c r="A31" s="108" t="s">
        <v>185</v>
      </c>
      <c r="B31" s="366">
        <f>DCF!E6</f>
        <v>9.053558405181325E-2</v>
      </c>
      <c r="C31" s="366"/>
      <c r="D31" s="366"/>
      <c r="E31" s="109" t="s">
        <v>998</v>
      </c>
      <c r="F31" s="356" t="s">
        <v>1004</v>
      </c>
      <c r="G31" s="356"/>
      <c r="H31" s="356"/>
    </row>
    <row r="32" spans="1:8" ht="34" customHeight="1" x14ac:dyDescent="0.35">
      <c r="A32" s="108" t="s">
        <v>992</v>
      </c>
      <c r="B32" s="366">
        <f>DCF!E7</f>
        <v>2.5000000000000001E-2</v>
      </c>
      <c r="C32" s="366"/>
      <c r="D32" s="366"/>
      <c r="E32" s="109" t="s">
        <v>999</v>
      </c>
      <c r="F32" s="356" t="s">
        <v>1005</v>
      </c>
      <c r="G32" s="356"/>
      <c r="H32" s="356"/>
    </row>
    <row r="33" spans="1:8" ht="34" customHeight="1" x14ac:dyDescent="0.35">
      <c r="A33" s="108" t="s">
        <v>993</v>
      </c>
      <c r="B33" s="366">
        <f>DCF!E9</f>
        <v>0.15</v>
      </c>
      <c r="C33" s="366"/>
      <c r="D33" s="366"/>
      <c r="E33" s="109" t="s">
        <v>1000</v>
      </c>
      <c r="F33" s="356" t="s">
        <v>1006</v>
      </c>
      <c r="G33" s="356"/>
      <c r="H33" s="356"/>
    </row>
    <row r="34" spans="1:8" ht="30" customHeight="1" x14ac:dyDescent="0.35">
      <c r="A34" s="108" t="s">
        <v>896</v>
      </c>
      <c r="B34" s="366">
        <f>DCF!E47</f>
        <v>0.69667510510221264</v>
      </c>
      <c r="C34" s="366"/>
      <c r="D34" s="366"/>
      <c r="E34" s="5"/>
      <c r="F34" s="5"/>
      <c r="G34" s="5"/>
      <c r="H34" s="5"/>
    </row>
    <row r="35" spans="1:8" x14ac:dyDescent="0.35">
      <c r="A35" s="5"/>
      <c r="B35" s="5"/>
      <c r="C35" s="5"/>
      <c r="D35" s="5"/>
      <c r="E35" s="5"/>
      <c r="F35" s="5"/>
      <c r="G35" s="5"/>
      <c r="H35" s="5"/>
    </row>
    <row r="36" spans="1:8" x14ac:dyDescent="0.35">
      <c r="A36" s="5"/>
      <c r="B36" s="5"/>
      <c r="C36" s="5"/>
      <c r="D36" s="5"/>
      <c r="E36" s="5"/>
      <c r="F36" s="5"/>
      <c r="G36" s="5"/>
      <c r="H36" s="5"/>
    </row>
    <row r="37" spans="1:8" ht="22" customHeight="1" x14ac:dyDescent="0.35">
      <c r="A37" s="363" t="s">
        <v>1007</v>
      </c>
      <c r="B37" s="363"/>
      <c r="C37" s="363"/>
      <c r="D37" s="363"/>
      <c r="E37" s="363"/>
      <c r="F37" s="363"/>
      <c r="G37" s="363"/>
      <c r="H37" s="363"/>
    </row>
    <row r="38" spans="1:8" ht="34" customHeight="1" x14ac:dyDescent="0.35">
      <c r="A38" s="108" t="s">
        <v>906</v>
      </c>
      <c r="B38" s="356" t="s">
        <v>1010</v>
      </c>
      <c r="C38" s="356"/>
      <c r="D38" s="356"/>
      <c r="E38" s="356"/>
      <c r="F38" s="356"/>
      <c r="G38" s="356"/>
      <c r="H38" s="356"/>
    </row>
    <row r="39" spans="1:8" ht="34" customHeight="1" x14ac:dyDescent="0.35">
      <c r="A39" s="108" t="s">
        <v>548</v>
      </c>
      <c r="B39" s="356" t="s">
        <v>1125</v>
      </c>
      <c r="C39" s="356"/>
      <c r="D39" s="356"/>
      <c r="E39" s="356"/>
      <c r="F39" s="356"/>
      <c r="G39" s="356"/>
      <c r="H39" s="356"/>
    </row>
    <row r="40" spans="1:8" ht="34" customHeight="1" x14ac:dyDescent="0.35">
      <c r="A40" s="108" t="s">
        <v>1008</v>
      </c>
      <c r="B40" s="356" t="s">
        <v>1011</v>
      </c>
      <c r="C40" s="356"/>
      <c r="D40" s="356"/>
      <c r="E40" s="356"/>
      <c r="F40" s="356"/>
      <c r="G40" s="356"/>
      <c r="H40" s="356"/>
    </row>
    <row r="41" spans="1:8" ht="34" customHeight="1" x14ac:dyDescent="0.35">
      <c r="A41" s="108" t="s">
        <v>1009</v>
      </c>
      <c r="B41" s="356" t="s">
        <v>1012</v>
      </c>
      <c r="C41" s="356"/>
      <c r="D41" s="356"/>
      <c r="E41" s="356"/>
      <c r="F41" s="356"/>
      <c r="G41" s="356"/>
      <c r="H41" s="356"/>
    </row>
    <row r="42" spans="1:8" x14ac:dyDescent="0.35">
      <c r="A42" s="5"/>
      <c r="B42" s="5"/>
      <c r="C42" s="5"/>
      <c r="D42" s="5"/>
      <c r="E42" s="5"/>
      <c r="F42" s="5"/>
      <c r="G42" s="5"/>
      <c r="H42" s="5"/>
    </row>
    <row r="43" spans="1:8" x14ac:dyDescent="0.35">
      <c r="A43" s="5"/>
      <c r="B43" s="5"/>
      <c r="C43" s="5"/>
      <c r="D43" s="5"/>
      <c r="E43" s="5"/>
      <c r="F43" s="5"/>
      <c r="G43" s="5"/>
      <c r="H43" s="5"/>
    </row>
    <row r="44" spans="1:8" ht="22" customHeight="1" x14ac:dyDescent="0.35">
      <c r="A44" s="363" t="s">
        <v>1013</v>
      </c>
      <c r="B44" s="363"/>
      <c r="C44" s="363"/>
      <c r="D44" s="363"/>
      <c r="E44" s="363"/>
      <c r="F44" s="363"/>
      <c r="G44" s="363"/>
      <c r="H44" s="363"/>
    </row>
    <row r="45" spans="1:8" ht="20" customHeight="1" x14ac:dyDescent="0.35">
      <c r="A45" s="364" t="s">
        <v>1014</v>
      </c>
      <c r="B45" s="364"/>
      <c r="C45" s="364"/>
      <c r="D45" s="364"/>
      <c r="E45" s="364"/>
      <c r="F45" s="364"/>
      <c r="G45" s="364"/>
      <c r="H45" s="364"/>
    </row>
    <row r="46" spans="1:8" ht="20" customHeight="1" x14ac:dyDescent="0.35">
      <c r="A46" s="364"/>
      <c r="B46" s="364"/>
      <c r="C46" s="364"/>
      <c r="D46" s="364"/>
      <c r="E46" s="364"/>
      <c r="F46" s="364"/>
      <c r="G46" s="364"/>
      <c r="H46" s="364"/>
    </row>
    <row r="47" spans="1:8" ht="20" customHeight="1" x14ac:dyDescent="0.35">
      <c r="A47" s="364"/>
      <c r="B47" s="364"/>
      <c r="C47" s="364"/>
      <c r="D47" s="364"/>
      <c r="E47" s="364"/>
      <c r="F47" s="364"/>
      <c r="G47" s="364"/>
      <c r="H47" s="364"/>
    </row>
    <row r="48" spans="1:8" x14ac:dyDescent="0.35">
      <c r="A48" s="5"/>
      <c r="B48" s="5"/>
      <c r="C48" s="5"/>
      <c r="D48" s="5"/>
      <c r="E48" s="5"/>
      <c r="F48" s="5"/>
      <c r="G48" s="5"/>
      <c r="H48" s="5"/>
    </row>
    <row r="49" spans="1:8" ht="20" customHeight="1" x14ac:dyDescent="0.35">
      <c r="A49" s="365"/>
      <c r="B49" s="365"/>
      <c r="C49" s="365"/>
      <c r="D49" s="365"/>
      <c r="E49" s="365"/>
      <c r="F49" s="365"/>
      <c r="G49" s="365"/>
      <c r="H49" s="365"/>
    </row>
    <row r="50" spans="1:8" ht="20" customHeight="1" x14ac:dyDescent="0.35">
      <c r="A50" s="365"/>
      <c r="B50" s="365"/>
      <c r="C50" s="365"/>
      <c r="D50" s="365"/>
      <c r="E50" s="365"/>
      <c r="F50" s="365"/>
      <c r="G50" s="365"/>
      <c r="H50" s="365"/>
    </row>
    <row r="51" spans="1:8" x14ac:dyDescent="0.35">
      <c r="A51" s="5"/>
      <c r="B51" s="5"/>
      <c r="C51" s="5"/>
      <c r="D51" s="5"/>
      <c r="E51" s="5"/>
      <c r="F51" s="5"/>
      <c r="G51" s="5"/>
      <c r="H51" s="5"/>
    </row>
    <row r="52" spans="1:8" x14ac:dyDescent="0.35">
      <c r="A52" s="5"/>
      <c r="B52" s="5"/>
      <c r="C52" s="5"/>
      <c r="D52" s="5"/>
      <c r="E52" s="5"/>
      <c r="F52" s="5"/>
      <c r="G52" s="5"/>
      <c r="H52" s="5"/>
    </row>
    <row r="53" spans="1:8" x14ac:dyDescent="0.35">
      <c r="A53" s="5"/>
      <c r="B53" s="5"/>
      <c r="C53" s="5"/>
      <c r="D53" s="5"/>
      <c r="E53" s="5"/>
      <c r="F53" s="5"/>
      <c r="G53" s="5"/>
      <c r="H53" s="5"/>
    </row>
    <row r="54" spans="1:8" x14ac:dyDescent="0.35">
      <c r="A54" s="5"/>
      <c r="B54" s="5"/>
      <c r="C54" s="5"/>
      <c r="D54" s="5"/>
      <c r="E54" s="5"/>
      <c r="F54" s="5"/>
      <c r="G54" s="5"/>
      <c r="H54" s="5"/>
    </row>
    <row r="55" spans="1:8" x14ac:dyDescent="0.35">
      <c r="A55" s="5"/>
      <c r="B55" s="5"/>
      <c r="C55" s="5"/>
      <c r="D55" s="5"/>
      <c r="E55" s="5"/>
      <c r="F55" s="5"/>
      <c r="G55" s="5"/>
      <c r="H55" s="5"/>
    </row>
  </sheetData>
  <mergeCells count="49">
    <mergeCell ref="B6:D6"/>
    <mergeCell ref="E6:H6"/>
    <mergeCell ref="B7:D7"/>
    <mergeCell ref="A1:H1"/>
    <mergeCell ref="A2:H2"/>
    <mergeCell ref="A3:H3"/>
    <mergeCell ref="A5:D5"/>
    <mergeCell ref="E5:H5"/>
    <mergeCell ref="A44:H44"/>
    <mergeCell ref="A45:H47"/>
    <mergeCell ref="A49:H50"/>
    <mergeCell ref="B31:D31"/>
    <mergeCell ref="B32:D32"/>
    <mergeCell ref="B33:D33"/>
    <mergeCell ref="B34:D34"/>
    <mergeCell ref="B10:D10"/>
    <mergeCell ref="E10:H10"/>
    <mergeCell ref="A27:D27"/>
    <mergeCell ref="E27:H27"/>
    <mergeCell ref="A37:H37"/>
    <mergeCell ref="A12:D12"/>
    <mergeCell ref="E12:H12"/>
    <mergeCell ref="E7:H7"/>
    <mergeCell ref="B8:D8"/>
    <mergeCell ref="E8:H8"/>
    <mergeCell ref="B9:D9"/>
    <mergeCell ref="E9:H9"/>
    <mergeCell ref="B30:D30"/>
    <mergeCell ref="F28:H28"/>
    <mergeCell ref="F29:H29"/>
    <mergeCell ref="F30:H30"/>
    <mergeCell ref="F13:H13"/>
    <mergeCell ref="F14:H14"/>
    <mergeCell ref="F15:H15"/>
    <mergeCell ref="F16:H16"/>
    <mergeCell ref="F17:H17"/>
    <mergeCell ref="F18:H18"/>
    <mergeCell ref="F19:H19"/>
    <mergeCell ref="F20:H20"/>
    <mergeCell ref="F21:H21"/>
    <mergeCell ref="B28:D28"/>
    <mergeCell ref="B29:D29"/>
    <mergeCell ref="B41:H41"/>
    <mergeCell ref="F31:H31"/>
    <mergeCell ref="F32:H32"/>
    <mergeCell ref="F33:H33"/>
    <mergeCell ref="B38:H38"/>
    <mergeCell ref="B39:H39"/>
    <mergeCell ref="B40:H40"/>
  </mergeCells>
  <pageMargins left="0.7" right="0.7" top="0.75" bottom="0.75" header="0.3" footer="0.3"/>
  <pageSetup scale="4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78428-0D17-4ED0-B02B-8FD1673B642F}">
  <sheetPr>
    <pageSetUpPr fitToPage="1"/>
  </sheetPr>
  <dimension ref="A1:AD80"/>
  <sheetViews>
    <sheetView showGridLines="0" zoomScale="72" zoomScaleNormal="72" workbookViewId="0">
      <selection activeCell="E6" sqref="E6"/>
    </sheetView>
  </sheetViews>
  <sheetFormatPr defaultRowHeight="14.5" x14ac:dyDescent="0.35"/>
  <cols>
    <col min="1" max="1" width="30.90625" customWidth="1"/>
    <col min="2" max="3" width="18.1796875" customWidth="1"/>
    <col min="4" max="4" width="30" customWidth="1"/>
    <col min="5" max="6" width="19.08984375" customWidth="1"/>
    <col min="7" max="7" width="20.90625" customWidth="1"/>
    <col min="8" max="9" width="17.26953125" customWidth="1"/>
    <col min="10" max="10" width="19.08984375" customWidth="1"/>
    <col min="11" max="12" width="16.36328125" customWidth="1"/>
    <col min="13" max="14" width="19.08984375" customWidth="1"/>
    <col min="16" max="30" width="0" hidden="1" customWidth="1"/>
  </cols>
  <sheetData>
    <row r="1" spans="1:30" ht="27" customHeight="1" x14ac:dyDescent="0.4">
      <c r="A1" s="114" t="s">
        <v>884</v>
      </c>
      <c r="B1" s="114"/>
      <c r="C1" s="114"/>
      <c r="D1" s="114"/>
      <c r="E1" s="114"/>
      <c r="F1" s="114"/>
      <c r="G1" s="114"/>
      <c r="H1" s="114"/>
      <c r="I1" s="114"/>
      <c r="J1" s="114"/>
      <c r="K1" s="114"/>
      <c r="L1" s="114"/>
      <c r="M1" s="303" t="str">
        <f>HYPERLINK("#'Cover'!A1","Back to Cover")</f>
        <v>Back to Cover</v>
      </c>
      <c r="N1" s="114"/>
      <c r="P1" t="s">
        <v>931</v>
      </c>
      <c r="Q1" t="s">
        <v>932</v>
      </c>
      <c r="R1" t="s">
        <v>933</v>
      </c>
      <c r="T1" t="s">
        <v>931</v>
      </c>
      <c r="U1" t="s">
        <v>522</v>
      </c>
      <c r="V1" t="s">
        <v>871</v>
      </c>
      <c r="X1" t="s">
        <v>931</v>
      </c>
      <c r="Y1" t="s">
        <v>934</v>
      </c>
      <c r="Z1" t="s">
        <v>935</v>
      </c>
      <c r="AA1" t="s">
        <v>936</v>
      </c>
      <c r="AC1" t="s">
        <v>937</v>
      </c>
      <c r="AD1" t="s">
        <v>618</v>
      </c>
    </row>
    <row r="2" spans="1:30" ht="22" customHeight="1" x14ac:dyDescent="0.35">
      <c r="A2" s="373" t="s">
        <v>885</v>
      </c>
      <c r="B2" s="373"/>
      <c r="C2" s="373"/>
      <c r="D2" s="373"/>
      <c r="E2" s="373"/>
      <c r="F2" s="373"/>
      <c r="G2" s="373"/>
      <c r="H2" s="373"/>
      <c r="I2" s="373"/>
      <c r="J2" s="373"/>
      <c r="K2" s="373"/>
      <c r="L2" s="373"/>
      <c r="M2" s="373"/>
      <c r="N2" s="373"/>
      <c r="P2" s="304" t="str">
        <f>'Fin Statement'!E5</f>
        <v>2022A</v>
      </c>
      <c r="Q2" s="41">
        <f>'3 statement Model'!E9/1000</f>
        <v>198.27</v>
      </c>
      <c r="R2" s="41">
        <f>'3 statement Model'!E25/1000</f>
        <v>83.382999999999996</v>
      </c>
      <c r="T2" s="304" t="str">
        <f>'Fin Statement'!E5</f>
        <v>2022A</v>
      </c>
      <c r="U2" s="44">
        <f>'Common Size&amp;Ratio'!E171</f>
        <v>0.12047208352246935</v>
      </c>
      <c r="V2" s="23"/>
      <c r="X2" s="304" t="str">
        <f>'Fin Statement'!E5</f>
        <v>2022A</v>
      </c>
      <c r="Y2" s="41">
        <f>'3 statement Model'!E68/1000</f>
        <v>89.034999999999997</v>
      </c>
      <c r="Z2" s="41">
        <f>ABS('3 statement Model'!E76)/1000</f>
        <v>23.885999999999999</v>
      </c>
      <c r="AA2" s="41">
        <f>'Common Size&amp;Ratio'!E168/1000</f>
        <v>65.149000000000001</v>
      </c>
      <c r="AC2" t="s">
        <v>938</v>
      </c>
      <c r="AD2" s="124">
        <f>$B$9</f>
        <v>531.33000000000004</v>
      </c>
    </row>
    <row r="3" spans="1:30" ht="25" customHeight="1" x14ac:dyDescent="0.35">
      <c r="A3" s="374" t="s">
        <v>886</v>
      </c>
      <c r="B3" s="374"/>
      <c r="C3" s="374"/>
      <c r="D3" s="374"/>
      <c r="E3" s="374"/>
      <c r="F3" s="374"/>
      <c r="G3" s="374"/>
      <c r="H3" s="374"/>
      <c r="I3" s="374"/>
      <c r="J3" s="374"/>
      <c r="K3" s="374"/>
      <c r="L3" s="374"/>
      <c r="M3" s="374"/>
      <c r="N3" s="374"/>
      <c r="P3" s="304" t="str">
        <f>'Fin Statement'!F5</f>
        <v>2023A</v>
      </c>
      <c r="Q3" s="41">
        <f>'3 statement Model'!F9/1000</f>
        <v>211.91499999999999</v>
      </c>
      <c r="R3" s="41">
        <f>'3 statement Model'!F25/1000</f>
        <v>88.522999999999996</v>
      </c>
      <c r="T3" s="304" t="str">
        <f>'Fin Statement'!F5</f>
        <v>2023A</v>
      </c>
      <c r="U3" s="44">
        <f>'Common Size&amp;Ratio'!F171</f>
        <v>0.13263336715192411</v>
      </c>
      <c r="V3" s="23"/>
      <c r="X3" s="304" t="str">
        <f>'Fin Statement'!F5</f>
        <v>2023A</v>
      </c>
      <c r="Y3" s="41">
        <f>'3 statement Model'!F68/1000</f>
        <v>87.581999999999994</v>
      </c>
      <c r="Z3" s="41">
        <f>ABS('3 statement Model'!F76)/1000</f>
        <v>28.106999999999999</v>
      </c>
      <c r="AA3" s="41">
        <f>'Common Size&amp;Ratio'!F168/1000</f>
        <v>59.475000000000001</v>
      </c>
      <c r="AC3" t="s">
        <v>939</v>
      </c>
      <c r="AD3" s="122">
        <v>300.21848939620497</v>
      </c>
    </row>
    <row r="4" spans="1:30" ht="24" customHeight="1" x14ac:dyDescent="0.35">
      <c r="A4" s="5"/>
      <c r="B4" s="5"/>
      <c r="C4" s="5"/>
      <c r="D4" s="5"/>
      <c r="E4" s="5"/>
      <c r="F4" s="5"/>
      <c r="G4" s="5"/>
      <c r="H4" s="5"/>
      <c r="I4" s="5"/>
      <c r="J4" s="5"/>
      <c r="K4" s="5"/>
      <c r="L4" s="5"/>
      <c r="M4" s="5"/>
      <c r="N4" s="5"/>
      <c r="P4" s="304" t="str">
        <f>'Fin Statement'!G5</f>
        <v>2024A</v>
      </c>
      <c r="Q4" s="41">
        <f>'3 statement Model'!G9/1000</f>
        <v>245.12200000000001</v>
      </c>
      <c r="R4" s="41">
        <f>'3 statement Model'!G25/1000</f>
        <v>109.43300000000001</v>
      </c>
      <c r="T4" s="304" t="str">
        <f>'Fin Statement'!G5</f>
        <v>2024A</v>
      </c>
      <c r="U4" s="44">
        <f>'Common Size&amp;Ratio'!G171</f>
        <v>0.18144842160230415</v>
      </c>
      <c r="V4" s="23"/>
      <c r="X4" s="304" t="str">
        <f>'Fin Statement'!G5</f>
        <v>2024A</v>
      </c>
      <c r="Y4" s="41">
        <f>'3 statement Model'!G68/1000</f>
        <v>118.548</v>
      </c>
      <c r="Z4" s="41">
        <f>ABS('3 statement Model'!G76)/1000</f>
        <v>44.476999999999997</v>
      </c>
      <c r="AA4" s="41">
        <f>'Common Size&amp;Ratio'!G168/1000</f>
        <v>74.070999999999998</v>
      </c>
      <c r="AC4" t="s">
        <v>658</v>
      </c>
      <c r="AD4" s="122">
        <v>403.26434317389499</v>
      </c>
    </row>
    <row r="5" spans="1:30" ht="22" customHeight="1" x14ac:dyDescent="0.35">
      <c r="A5" s="107" t="s">
        <v>887</v>
      </c>
      <c r="B5" s="107"/>
      <c r="C5" s="107"/>
      <c r="D5" s="107"/>
      <c r="E5" s="107"/>
      <c r="F5" s="107"/>
      <c r="G5" s="107"/>
      <c r="H5" s="107"/>
      <c r="I5" s="107"/>
      <c r="J5" s="107"/>
      <c r="K5" s="107"/>
      <c r="L5" s="107"/>
      <c r="M5" s="107"/>
      <c r="N5" s="107"/>
      <c r="P5" s="304" t="str">
        <f>'Fin Statement'!H5</f>
        <v>2025A</v>
      </c>
      <c r="Q5" s="41">
        <f>'3 statement Model'!H9/1000</f>
        <v>281.72399999999999</v>
      </c>
      <c r="R5" s="41">
        <f>'3 statement Model'!H25/1000</f>
        <v>128.52799999999999</v>
      </c>
      <c r="T5" s="304" t="str">
        <f>'Fin Statement'!H5</f>
        <v>2025A</v>
      </c>
      <c r="U5" s="44">
        <f>'Common Size&amp;Ratio'!H171</f>
        <v>0.22912850875324786</v>
      </c>
      <c r="V5" s="23"/>
      <c r="X5" s="304" t="str">
        <f>'Fin Statement'!H5</f>
        <v>2025A</v>
      </c>
      <c r="Y5" s="41">
        <f>'3 statement Model'!H68/1000</f>
        <v>136.16200000000001</v>
      </c>
      <c r="Z5" s="41">
        <f>ABS('3 statement Model'!H76)/1000</f>
        <v>64.551000000000002</v>
      </c>
      <c r="AA5" s="41">
        <f>'Common Size&amp;Ratio'!H168/1000</f>
        <v>71.611000000000004</v>
      </c>
      <c r="AC5" t="s">
        <v>940</v>
      </c>
      <c r="AD5" s="122">
        <v>500.32106389619202</v>
      </c>
    </row>
    <row r="6" spans="1:30" ht="25" customHeight="1" x14ac:dyDescent="0.35">
      <c r="A6" s="5" t="s">
        <v>888</v>
      </c>
      <c r="B6" s="123">
        <v>46322</v>
      </c>
      <c r="C6" s="5"/>
      <c r="D6" s="5" t="s">
        <v>889</v>
      </c>
      <c r="E6" s="5" t="s">
        <v>890</v>
      </c>
      <c r="F6" s="5"/>
      <c r="G6" s="5"/>
      <c r="H6" s="5" t="s">
        <v>891</v>
      </c>
      <c r="I6" s="110" t="str">
        <f>Assumptions!M2</f>
        <v>Base</v>
      </c>
      <c r="J6" s="5"/>
      <c r="K6" s="5" t="s">
        <v>892</v>
      </c>
      <c r="L6" s="115">
        <f>Assumptions!L2</f>
        <v>2</v>
      </c>
      <c r="M6" s="5"/>
      <c r="N6" s="5"/>
      <c r="P6" s="304" t="str">
        <f>'Fin Statement'!I5</f>
        <v>2026A</v>
      </c>
      <c r="Q6" s="41">
        <f>'3 statement Model'!I9/1000</f>
        <v>331.839</v>
      </c>
      <c r="R6" s="41">
        <f>'3 statement Model'!I25/1000</f>
        <v>155.23699999999999</v>
      </c>
      <c r="T6" s="304" t="str">
        <f>'Fin Statement'!I5</f>
        <v>2026A</v>
      </c>
      <c r="U6" s="44">
        <f>'Common Size&amp;Ratio'!I171</f>
        <v>0.34941040685392616</v>
      </c>
      <c r="V6" s="23"/>
      <c r="X6" s="304" t="str">
        <f>'Fin Statement'!I5</f>
        <v>2026A</v>
      </c>
      <c r="Y6" s="41">
        <f>'3 statement Model'!I68/1000</f>
        <v>182.935</v>
      </c>
      <c r="Z6" s="41">
        <f>ABS('3 statement Model'!I76)/1000</f>
        <v>115.94799999999999</v>
      </c>
      <c r="AA6" s="41">
        <f>'Common Size&amp;Ratio'!I168/1000</f>
        <v>66.986999999999995</v>
      </c>
      <c r="AC6" t="s">
        <v>941</v>
      </c>
      <c r="AD6" s="124">
        <f>$B$17</f>
        <v>506.60636196934075</v>
      </c>
    </row>
    <row r="7" spans="1:30" ht="25" customHeight="1" x14ac:dyDescent="0.35">
      <c r="A7" s="5"/>
      <c r="B7" s="5"/>
      <c r="C7" s="5"/>
      <c r="D7" s="5"/>
      <c r="E7" s="5"/>
      <c r="F7" s="5"/>
      <c r="G7" s="5"/>
      <c r="H7" s="5"/>
      <c r="I7" s="5"/>
      <c r="J7" s="5"/>
      <c r="K7" s="5"/>
      <c r="L7" s="5"/>
      <c r="M7" s="5"/>
      <c r="N7" s="5"/>
      <c r="P7" s="304" t="str">
        <f>'Fin Statement'!J5</f>
        <v>2027E</v>
      </c>
      <c r="Q7" s="41">
        <f>'3 statement Model'!J9/1000</f>
        <v>390.02904000000001</v>
      </c>
      <c r="R7" s="41">
        <f>'3 statement Model'!J25/1000</f>
        <v>180.97347456000006</v>
      </c>
      <c r="T7" s="304" t="str">
        <f>'Fin Statement'!J5</f>
        <v>2027E</v>
      </c>
      <c r="U7" s="44">
        <f>'Common Size&amp;Ratio'!J171</f>
        <v>0.35894763118151402</v>
      </c>
      <c r="V7" s="44">
        <f>'Common Size&amp;Ratio'!J205</f>
        <v>0.39740630595096199</v>
      </c>
      <c r="X7" s="304" t="str">
        <f>'Fin Statement'!J5</f>
        <v>2027E</v>
      </c>
      <c r="Y7" s="41">
        <f>'3 statement Model'!J68/1000</f>
        <v>222.14056461079943</v>
      </c>
      <c r="Z7" s="41">
        <f>ABS('3 statement Model'!J76)/1000</f>
        <v>140</v>
      </c>
      <c r="AA7" s="41">
        <f>'Common Size&amp;Ratio'!J168/1000</f>
        <v>82.14056461079943</v>
      </c>
    </row>
    <row r="8" spans="1:30" ht="22" customHeight="1" x14ac:dyDescent="0.35">
      <c r="A8" s="107" t="s">
        <v>893</v>
      </c>
      <c r="B8" s="107"/>
      <c r="C8" s="107"/>
      <c r="D8" s="107"/>
      <c r="E8" s="107"/>
      <c r="F8" s="107"/>
      <c r="G8" s="107"/>
      <c r="H8" s="107"/>
      <c r="I8" s="107"/>
      <c r="J8" s="107"/>
      <c r="K8" s="107"/>
      <c r="L8" s="107"/>
      <c r="M8" s="107"/>
      <c r="N8" s="107"/>
      <c r="P8" s="304" t="str">
        <f>'Fin Statement'!K5</f>
        <v>2028E</v>
      </c>
      <c r="Q8" s="41">
        <f>'3 statement Model'!K9/1000</f>
        <v>460.28555000000006</v>
      </c>
      <c r="R8" s="41">
        <f>'3 statement Model'!K25/1000</f>
        <v>214.49306630000007</v>
      </c>
      <c r="T8" s="304" t="str">
        <f>'Fin Statement'!K5</f>
        <v>2028E</v>
      </c>
      <c r="U8" s="44">
        <f>'Common Size&amp;Ratio'!K171</f>
        <v>0.33674748207933092</v>
      </c>
      <c r="V8" s="44">
        <f>'Common Size&amp;Ratio'!K205</f>
        <v>0.36933594808700815</v>
      </c>
      <c r="X8" s="304" t="str">
        <f>'Fin Statement'!K5</f>
        <v>2028E</v>
      </c>
      <c r="Y8" s="41">
        <f>'3 statement Model'!K68/1000</f>
        <v>267.19569874910241</v>
      </c>
      <c r="Z8" s="41">
        <f>ABS('3 statement Model'!K76)/1000</f>
        <v>155</v>
      </c>
      <c r="AA8" s="41">
        <f>'Common Size&amp;Ratio'!K168/1000</f>
        <v>112.19569874910242</v>
      </c>
    </row>
    <row r="9" spans="1:30" x14ac:dyDescent="0.35">
      <c r="A9" s="108" t="s">
        <v>573</v>
      </c>
      <c r="B9" s="47">
        <f>DCF!E13</f>
        <v>531.33000000000004</v>
      </c>
      <c r="C9" s="5"/>
      <c r="D9" s="116" t="s">
        <v>1118</v>
      </c>
      <c r="E9" s="116"/>
      <c r="F9" s="116"/>
      <c r="G9" s="5"/>
      <c r="H9" s="5"/>
      <c r="I9" s="5"/>
      <c r="J9" s="5"/>
      <c r="K9" s="5"/>
      <c r="L9" s="5"/>
      <c r="M9" s="5"/>
      <c r="N9" s="5"/>
      <c r="P9" s="304" t="str">
        <f>'Fin Statement'!L5</f>
        <v>2029E</v>
      </c>
      <c r="Q9" s="41">
        <f>'3 statement Model'!L9/1000</f>
        <v>536.51481760800016</v>
      </c>
      <c r="R9" s="41">
        <f>'3 statement Model'!L25/1000</f>
        <v>252.69847909336806</v>
      </c>
      <c r="T9" s="304" t="str">
        <f>'Fin Statement'!L5</f>
        <v>2029E</v>
      </c>
      <c r="U9" s="44">
        <f>'Common Size&amp;Ratio'!L171</f>
        <v>0.31685984137013906</v>
      </c>
      <c r="V9" s="44">
        <f>'Common Size&amp;Ratio'!L205</f>
        <v>0.34481806266750425</v>
      </c>
      <c r="X9" s="304" t="str">
        <f>'Fin Statement'!L5</f>
        <v>2029E</v>
      </c>
      <c r="Y9" s="41">
        <f>'3 statement Model'!L68/1000</f>
        <v>317.14449501068424</v>
      </c>
      <c r="Z9" s="41">
        <f>ABS('3 statement Model'!L76)/1000</f>
        <v>170</v>
      </c>
      <c r="AA9" s="41">
        <f>'Common Size&amp;Ratio'!L168/1000</f>
        <v>147.14449501068424</v>
      </c>
    </row>
    <row r="10" spans="1:30" x14ac:dyDescent="0.35">
      <c r="A10" s="108" t="s">
        <v>894</v>
      </c>
      <c r="B10" s="47">
        <f>DCF!E55</f>
        <v>403.26434317389527</v>
      </c>
      <c r="C10" s="5"/>
      <c r="D10" s="117" t="s">
        <v>810</v>
      </c>
      <c r="E10" s="117" t="s">
        <v>899</v>
      </c>
      <c r="F10" s="117" t="s">
        <v>652</v>
      </c>
      <c r="G10" s="5"/>
      <c r="H10" s="5"/>
      <c r="I10" s="5"/>
      <c r="J10" s="5"/>
      <c r="K10" s="5"/>
      <c r="L10" s="5"/>
      <c r="M10" s="5"/>
      <c r="N10" s="5"/>
      <c r="P10" s="304" t="str">
        <f>'Fin Statement'!M5</f>
        <v>2030E</v>
      </c>
      <c r="Q10" s="41">
        <f>'3 statement Model'!M9/1000</f>
        <v>618.21880101624015</v>
      </c>
      <c r="R10" s="41">
        <f>'3 statement Model'!M25/1000</f>
        <v>293.65393048271415</v>
      </c>
      <c r="T10" s="304" t="str">
        <f>'Fin Statement'!M5</f>
        <v>2030E</v>
      </c>
      <c r="U10" s="44">
        <f>'Common Size&amp;Ratio'!M171</f>
        <v>0.29924680339047177</v>
      </c>
      <c r="V10" s="44">
        <f>'Common Size&amp;Ratio'!M205</f>
        <v>0.32351005771942892</v>
      </c>
      <c r="X10" s="304" t="str">
        <f>'Fin Statement'!M5</f>
        <v>2030E</v>
      </c>
      <c r="Y10" s="41">
        <f>'3 statement Model'!M68/1000</f>
        <v>367.24669363147439</v>
      </c>
      <c r="Z10" s="41">
        <f>ABS('3 statement Model'!M76)/1000</f>
        <v>185</v>
      </c>
      <c r="AA10" s="41">
        <f>'Common Size&amp;Ratio'!M168/1000</f>
        <v>182.24669363147439</v>
      </c>
    </row>
    <row r="11" spans="1:30" x14ac:dyDescent="0.35">
      <c r="A11" s="108" t="s">
        <v>895</v>
      </c>
      <c r="B11" s="111">
        <f>DCF!E57</f>
        <v>-0.24102846973840131</v>
      </c>
      <c r="C11" s="5"/>
      <c r="D11" s="5" t="s">
        <v>300</v>
      </c>
      <c r="E11" s="49">
        <v>300.21848939620497</v>
      </c>
      <c r="F11" s="125">
        <f>E11/$B$9-1</f>
        <v>-0.43496793067170125</v>
      </c>
      <c r="G11" s="5"/>
      <c r="H11" s="5"/>
      <c r="I11" s="5"/>
      <c r="J11" s="5"/>
      <c r="K11" s="5"/>
      <c r="L11" s="5"/>
      <c r="M11" s="5"/>
      <c r="N11" s="5"/>
      <c r="P11" s="304" t="str">
        <f>'Fin Statement'!N5</f>
        <v>2031E</v>
      </c>
      <c r="Q11" s="41">
        <f>'3 statement Model'!N9/1000</f>
        <v>702.02722087776726</v>
      </c>
      <c r="R11" s="41">
        <f>'3 statement Model'!N25/1000</f>
        <v>337.67509324220606</v>
      </c>
      <c r="T11" s="304" t="str">
        <f>'Fin Statement'!N5</f>
        <v>2031E</v>
      </c>
      <c r="U11" s="44">
        <f>'Common Size&amp;Ratio'!N171</f>
        <v>0.28488923798415328</v>
      </c>
      <c r="V11" s="44">
        <f>'Common Size&amp;Ratio'!N205</f>
        <v>0.30625593083296482</v>
      </c>
      <c r="X11" s="304" t="str">
        <f>'Fin Statement'!N5</f>
        <v>2031E</v>
      </c>
      <c r="Y11" s="41">
        <f>'3 statement Model'!N68/1000</f>
        <v>423.39654544563922</v>
      </c>
      <c r="Z11" s="41">
        <f>ABS('3 statement Model'!N76)/1000</f>
        <v>200</v>
      </c>
      <c r="AA11" s="41">
        <f>'Common Size&amp;Ratio'!N168/1000</f>
        <v>223.39654544563922</v>
      </c>
    </row>
    <row r="12" spans="1:30" x14ac:dyDescent="0.35">
      <c r="A12" s="108" t="s">
        <v>185</v>
      </c>
      <c r="B12" s="111">
        <f>DCF!E6</f>
        <v>9.053558405181325E-2</v>
      </c>
      <c r="C12" s="5"/>
      <c r="D12" s="5" t="s">
        <v>301</v>
      </c>
      <c r="E12" s="49">
        <v>403.26434317389499</v>
      </c>
      <c r="F12" s="125">
        <f>E12/$B$9-1</f>
        <v>-0.24102846973840186</v>
      </c>
      <c r="G12" s="5"/>
      <c r="H12" s="5"/>
      <c r="I12" s="5"/>
      <c r="J12" s="5"/>
      <c r="K12" s="5"/>
      <c r="L12" s="5"/>
      <c r="M12" s="5"/>
      <c r="N12" s="5"/>
    </row>
    <row r="13" spans="1:30" ht="24" customHeight="1" x14ac:dyDescent="0.35">
      <c r="A13" s="108" t="s">
        <v>424</v>
      </c>
      <c r="B13" s="111">
        <f>DCF!E7</f>
        <v>2.5000000000000001E-2</v>
      </c>
      <c r="C13" s="5"/>
      <c r="D13" s="5" t="s">
        <v>302</v>
      </c>
      <c r="E13" s="49">
        <v>500.32106389619202</v>
      </c>
      <c r="F13" s="125">
        <f>E13/$B$9-1</f>
        <v>-5.8360973601731536E-2</v>
      </c>
      <c r="G13" s="5"/>
      <c r="H13" s="5"/>
      <c r="I13" s="5"/>
      <c r="J13" s="5"/>
      <c r="K13" s="5"/>
      <c r="L13" s="5"/>
      <c r="M13" s="5"/>
      <c r="N13" s="5"/>
    </row>
    <row r="14" spans="1:30" x14ac:dyDescent="0.35">
      <c r="A14" s="108" t="s">
        <v>469</v>
      </c>
      <c r="B14" s="111">
        <f>DCF!E9</f>
        <v>0.15</v>
      </c>
      <c r="C14" s="5"/>
      <c r="D14" s="5"/>
      <c r="E14" s="5"/>
      <c r="F14" s="5"/>
      <c r="G14" s="5"/>
      <c r="H14" s="5"/>
      <c r="I14" s="5"/>
      <c r="J14" s="5"/>
      <c r="K14" s="5"/>
      <c r="L14" s="5"/>
      <c r="M14" s="5"/>
      <c r="N14" s="5"/>
    </row>
    <row r="15" spans="1:30" x14ac:dyDescent="0.35">
      <c r="A15" s="108" t="s">
        <v>896</v>
      </c>
      <c r="B15" s="111">
        <f>DCF!E47</f>
        <v>0.69667510510221264</v>
      </c>
      <c r="C15" s="5"/>
      <c r="D15" s="5" t="s">
        <v>1119</v>
      </c>
      <c r="E15" s="370" t="s">
        <v>1120</v>
      </c>
      <c r="F15" s="370"/>
      <c r="G15" s="370"/>
      <c r="H15" s="370"/>
      <c r="I15" s="370"/>
      <c r="J15" s="370"/>
      <c r="K15" s="370"/>
      <c r="L15" s="370"/>
      <c r="M15" s="370"/>
      <c r="N15" s="370"/>
    </row>
    <row r="16" spans="1:30" x14ac:dyDescent="0.35">
      <c r="A16" s="108" t="s">
        <v>897</v>
      </c>
      <c r="B16" s="48">
        <f>'Trading Comps'!P14</f>
        <v>28.126048576972074</v>
      </c>
      <c r="C16" s="5"/>
      <c r="D16" s="5" t="s">
        <v>1121</v>
      </c>
      <c r="E16" s="371">
        <v>46324</v>
      </c>
      <c r="F16" s="372"/>
      <c r="G16" s="372"/>
      <c r="H16" s="372"/>
      <c r="I16" s="372"/>
      <c r="J16" s="372"/>
      <c r="K16" s="372"/>
      <c r="L16" s="372"/>
      <c r="M16" s="372"/>
      <c r="N16" s="372"/>
    </row>
    <row r="17" spans="1:14" x14ac:dyDescent="0.35">
      <c r="A17" s="108" t="s">
        <v>898</v>
      </c>
      <c r="B17" s="47">
        <f>'Trading Comps'!F21</f>
        <v>506.60636196934075</v>
      </c>
      <c r="C17" s="5"/>
      <c r="D17" s="5" t="s">
        <v>900</v>
      </c>
      <c r="E17" s="370" t="s">
        <v>1122</v>
      </c>
      <c r="F17" s="370"/>
      <c r="G17" s="370"/>
      <c r="H17" s="370"/>
      <c r="I17" s="370"/>
      <c r="J17" s="370"/>
      <c r="K17" s="370"/>
      <c r="L17" s="370"/>
      <c r="M17" s="370"/>
      <c r="N17" s="370"/>
    </row>
    <row r="18" spans="1:14" x14ac:dyDescent="0.35">
      <c r="A18" s="5"/>
      <c r="B18" s="5"/>
      <c r="C18" s="5"/>
      <c r="D18" s="5"/>
      <c r="E18" s="5"/>
      <c r="F18" s="5"/>
      <c r="G18" s="5"/>
      <c r="H18" s="5"/>
      <c r="I18" s="5"/>
      <c r="J18" s="5"/>
      <c r="K18" s="5"/>
      <c r="L18" s="5"/>
      <c r="M18" s="5"/>
      <c r="N18" s="5"/>
    </row>
    <row r="19" spans="1:14" ht="22" customHeight="1" x14ac:dyDescent="0.35">
      <c r="A19" s="107" t="str">
        <f>"FINANCIAL PERFORMANCE — FY2026 ACTUAL VS FY2031 ACTIVE SCENARIO ("&amp;UPPER(Assumptions!M2)&amp;")"</f>
        <v>FINANCIAL PERFORMANCE — FY2026 ACTUAL VS FY2031 ACTIVE SCENARIO (BASE)</v>
      </c>
      <c r="B19" s="107"/>
      <c r="C19" s="107"/>
      <c r="D19" s="107"/>
      <c r="E19" s="107"/>
      <c r="F19" s="107"/>
      <c r="G19" s="107"/>
      <c r="H19" s="107"/>
      <c r="I19" s="107"/>
      <c r="J19" s="107"/>
      <c r="K19" s="107"/>
      <c r="L19" s="107"/>
      <c r="M19" s="107"/>
      <c r="N19" s="107"/>
    </row>
    <row r="20" spans="1:14" x14ac:dyDescent="0.35">
      <c r="A20" s="117" t="s">
        <v>519</v>
      </c>
      <c r="B20" s="117" t="s">
        <v>901</v>
      </c>
      <c r="C20" s="117" t="str">
        <f>"FY2031E ("&amp;Assumptions!M2&amp;")"</f>
        <v>FY2031E (Base)</v>
      </c>
      <c r="D20" s="117" t="s">
        <v>902</v>
      </c>
      <c r="E20" s="5"/>
      <c r="F20" s="5"/>
      <c r="G20" s="5"/>
      <c r="H20" s="5"/>
      <c r="I20" s="5"/>
      <c r="J20" s="5"/>
      <c r="K20" s="5"/>
      <c r="L20" s="5"/>
      <c r="M20" s="5"/>
      <c r="N20" s="5"/>
    </row>
    <row r="21" spans="1:14" x14ac:dyDescent="0.35">
      <c r="A21" s="108" t="s">
        <v>435</v>
      </c>
      <c r="B21" s="115">
        <f>'3 statement Model'!I9</f>
        <v>331839</v>
      </c>
      <c r="C21" s="115">
        <f>'3 statement Model'!N9</f>
        <v>702027.22087776731</v>
      </c>
      <c r="D21" s="356" t="s">
        <v>677</v>
      </c>
      <c r="E21" s="356"/>
      <c r="F21" s="356"/>
      <c r="G21" s="356"/>
      <c r="H21" s="356"/>
      <c r="I21" s="356"/>
      <c r="J21" s="356"/>
      <c r="K21" s="356"/>
      <c r="L21" s="356"/>
      <c r="M21" s="356"/>
      <c r="N21" s="356"/>
    </row>
    <row r="22" spans="1:14" ht="24" customHeight="1" x14ac:dyDescent="0.35">
      <c r="A22" s="108" t="s">
        <v>903</v>
      </c>
      <c r="B22" s="115">
        <f>'3 statement Model'!I25</f>
        <v>155237</v>
      </c>
      <c r="C22" s="115">
        <f>'3 statement Model'!N25</f>
        <v>337675.09324220609</v>
      </c>
      <c r="D22" s="356" t="s">
        <v>677</v>
      </c>
      <c r="E22" s="356"/>
      <c r="F22" s="356"/>
      <c r="G22" s="356"/>
      <c r="H22" s="356"/>
      <c r="I22" s="356"/>
      <c r="J22" s="356"/>
      <c r="K22" s="356"/>
      <c r="L22" s="356"/>
      <c r="M22" s="356"/>
      <c r="N22" s="356"/>
    </row>
    <row r="23" spans="1:14" x14ac:dyDescent="0.35">
      <c r="A23" s="108" t="s">
        <v>904</v>
      </c>
      <c r="B23" s="111">
        <f>'Common Size&amp;Ratio'!I139</f>
        <v>0.46780818408927222</v>
      </c>
      <c r="C23" s="111">
        <f>'Common Size&amp;Ratio'!N139</f>
        <v>0.48100000000000004</v>
      </c>
      <c r="D23" s="356" t="s">
        <v>909</v>
      </c>
      <c r="E23" s="356"/>
      <c r="F23" s="356"/>
      <c r="G23" s="356"/>
      <c r="H23" s="356"/>
      <c r="I23" s="356"/>
      <c r="J23" s="356"/>
      <c r="K23" s="356"/>
      <c r="L23" s="356"/>
      <c r="M23" s="356"/>
      <c r="N23" s="356"/>
    </row>
    <row r="24" spans="1:14" ht="32" customHeight="1" x14ac:dyDescent="0.35">
      <c r="A24" s="108" t="s">
        <v>630</v>
      </c>
      <c r="B24" s="115">
        <f>'3 statement Model'!I68</f>
        <v>182935</v>
      </c>
      <c r="C24" s="115">
        <f>'3 statement Model'!N68</f>
        <v>423396.54544563923</v>
      </c>
      <c r="D24" s="356" t="s">
        <v>677</v>
      </c>
      <c r="E24" s="356"/>
      <c r="F24" s="356"/>
      <c r="G24" s="356"/>
      <c r="H24" s="356"/>
      <c r="I24" s="356"/>
      <c r="J24" s="356"/>
      <c r="K24" s="356"/>
      <c r="L24" s="356"/>
      <c r="M24" s="356"/>
      <c r="N24" s="356"/>
    </row>
    <row r="25" spans="1:14" ht="32" customHeight="1" x14ac:dyDescent="0.35">
      <c r="A25" s="108" t="s">
        <v>631</v>
      </c>
      <c r="B25" s="115">
        <f>ABS('3 statement Model'!I76)</f>
        <v>115948</v>
      </c>
      <c r="C25" s="115">
        <f>ABS('3 statement Model'!N76)</f>
        <v>200000</v>
      </c>
      <c r="D25" s="356" t="s">
        <v>910</v>
      </c>
      <c r="E25" s="356"/>
      <c r="F25" s="356"/>
      <c r="G25" s="356"/>
      <c r="H25" s="356"/>
      <c r="I25" s="356"/>
      <c r="J25" s="356"/>
      <c r="K25" s="356"/>
      <c r="L25" s="356"/>
      <c r="M25" s="356"/>
      <c r="N25" s="356"/>
    </row>
    <row r="26" spans="1:14" ht="32" customHeight="1" x14ac:dyDescent="0.35">
      <c r="A26" s="108" t="s">
        <v>905</v>
      </c>
      <c r="B26" s="118" t="s">
        <v>908</v>
      </c>
      <c r="C26" s="115">
        <f>'3 statement Model'!N174+'3 statement Model'!N175</f>
        <v>215000</v>
      </c>
      <c r="D26" s="356" t="s">
        <v>911</v>
      </c>
      <c r="E26" s="356"/>
      <c r="F26" s="356"/>
      <c r="G26" s="356"/>
      <c r="H26" s="356"/>
      <c r="I26" s="356"/>
      <c r="J26" s="356"/>
      <c r="K26" s="356"/>
      <c r="L26" s="356"/>
      <c r="M26" s="356"/>
      <c r="N26" s="356"/>
    </row>
    <row r="27" spans="1:14" ht="32" customHeight="1" x14ac:dyDescent="0.35">
      <c r="A27" s="108" t="s">
        <v>906</v>
      </c>
      <c r="B27" s="115">
        <f>'Common Size&amp;Ratio'!I168</f>
        <v>66987</v>
      </c>
      <c r="C27" s="115">
        <f>'Common Size&amp;Ratio'!N168</f>
        <v>223396.54544563923</v>
      </c>
      <c r="D27" s="356" t="s">
        <v>912</v>
      </c>
      <c r="E27" s="356"/>
      <c r="F27" s="356"/>
      <c r="G27" s="356"/>
      <c r="H27" s="356"/>
      <c r="I27" s="356"/>
      <c r="J27" s="356"/>
      <c r="K27" s="356"/>
      <c r="L27" s="356"/>
      <c r="M27" s="356"/>
      <c r="N27" s="356"/>
    </row>
    <row r="28" spans="1:14" ht="32" customHeight="1" x14ac:dyDescent="0.35">
      <c r="A28" s="108" t="s">
        <v>548</v>
      </c>
      <c r="B28" s="118" t="s">
        <v>908</v>
      </c>
      <c r="C28" s="115">
        <f>DCF!I27</f>
        <v>181368.63934143702</v>
      </c>
      <c r="D28" s="356" t="s">
        <v>1130</v>
      </c>
      <c r="E28" s="356"/>
      <c r="F28" s="356"/>
      <c r="G28" s="356"/>
      <c r="H28" s="356"/>
      <c r="I28" s="356"/>
      <c r="J28" s="356"/>
      <c r="K28" s="356"/>
      <c r="L28" s="356"/>
      <c r="M28" s="356"/>
      <c r="N28" s="356"/>
    </row>
    <row r="29" spans="1:14" x14ac:dyDescent="0.35">
      <c r="A29" s="108" t="s">
        <v>907</v>
      </c>
      <c r="B29" s="111">
        <f>'Common Size&amp;Ratio'!I144</f>
        <v>0.35857939734445748</v>
      </c>
      <c r="C29" s="111">
        <f>'Common Size&amp;Ratio'!N144</f>
        <v>0.34983704301375101</v>
      </c>
      <c r="D29" s="356" t="s">
        <v>913</v>
      </c>
      <c r="E29" s="356"/>
      <c r="F29" s="356"/>
      <c r="G29" s="356"/>
      <c r="H29" s="356"/>
      <c r="I29" s="356"/>
      <c r="J29" s="356"/>
      <c r="K29" s="356"/>
      <c r="L29" s="356"/>
      <c r="M29" s="356"/>
      <c r="N29" s="356"/>
    </row>
    <row r="30" spans="1:14" ht="24" customHeight="1" x14ac:dyDescent="0.35">
      <c r="A30" s="108" t="s">
        <v>522</v>
      </c>
      <c r="B30" s="111">
        <f>'Common Size&amp;Ratio'!I171</f>
        <v>0.34941040685392616</v>
      </c>
      <c r="C30" s="111">
        <f>'Common Size&amp;Ratio'!N171</f>
        <v>0.28488923798415328</v>
      </c>
      <c r="D30" s="356" t="s">
        <v>914</v>
      </c>
      <c r="E30" s="356"/>
      <c r="F30" s="356"/>
      <c r="G30" s="356"/>
      <c r="H30" s="356"/>
      <c r="I30" s="356"/>
      <c r="J30" s="356"/>
      <c r="K30" s="356"/>
      <c r="L30" s="356"/>
      <c r="M30" s="356"/>
      <c r="N30" s="356"/>
    </row>
    <row r="31" spans="1:14" x14ac:dyDescent="0.35">
      <c r="A31" s="108" t="s">
        <v>871</v>
      </c>
      <c r="B31" s="119" t="s">
        <v>908</v>
      </c>
      <c r="C31" s="111">
        <f>'Common Size&amp;Ratio'!N205</f>
        <v>0.30625593083296482</v>
      </c>
      <c r="D31" s="356" t="s">
        <v>915</v>
      </c>
      <c r="E31" s="356"/>
      <c r="F31" s="356"/>
      <c r="G31" s="356"/>
      <c r="H31" s="356"/>
      <c r="I31" s="356"/>
      <c r="J31" s="356"/>
      <c r="K31" s="356"/>
      <c r="L31" s="356"/>
      <c r="M31" s="356"/>
      <c r="N31" s="356"/>
    </row>
    <row r="32" spans="1:14" ht="28" customHeight="1" x14ac:dyDescent="0.35">
      <c r="A32" s="365" t="s">
        <v>942</v>
      </c>
      <c r="B32" s="365"/>
      <c r="C32" s="365"/>
      <c r="D32" s="365"/>
      <c r="E32" s="365"/>
      <c r="F32" s="365"/>
      <c r="G32" s="365"/>
      <c r="H32" s="365"/>
      <c r="I32" s="365"/>
      <c r="J32" s="365"/>
      <c r="K32" s="365"/>
      <c r="L32" s="365"/>
      <c r="M32" s="365"/>
      <c r="N32" s="365"/>
    </row>
    <row r="33" spans="1:14" ht="42" customHeight="1" x14ac:dyDescent="0.35">
      <c r="A33" s="5"/>
      <c r="B33" s="5"/>
      <c r="C33" s="5"/>
      <c r="D33" s="5"/>
      <c r="E33" s="5"/>
      <c r="F33" s="5"/>
      <c r="G33" s="5"/>
      <c r="H33" s="5"/>
      <c r="I33" s="5"/>
      <c r="J33" s="5"/>
      <c r="K33" s="5"/>
      <c r="L33" s="5"/>
      <c r="M33" s="5"/>
      <c r="N33" s="5"/>
    </row>
    <row r="34" spans="1:14" ht="22" customHeight="1" x14ac:dyDescent="0.35">
      <c r="A34" s="107" t="s">
        <v>916</v>
      </c>
      <c r="B34" s="107"/>
      <c r="C34" s="107"/>
      <c r="D34" s="107"/>
      <c r="E34" s="107"/>
      <c r="F34" s="107"/>
      <c r="G34" s="107"/>
      <c r="H34" s="107"/>
      <c r="I34" s="107"/>
      <c r="J34" s="107"/>
      <c r="K34" s="107"/>
      <c r="L34" s="107"/>
      <c r="M34" s="107"/>
      <c r="N34" s="107"/>
    </row>
    <row r="35" spans="1:14" ht="42" customHeight="1" x14ac:dyDescent="0.35">
      <c r="A35" s="108" t="s">
        <v>78</v>
      </c>
      <c r="B35" s="120" t="str">
        <f>IF(MAX(ABS('3 statement Model'!J127),ABS('3 statement Model'!K127),ABS('3 statement Model'!L127),ABS('3 statement Model'!M127),ABS('3 statement Model'!N127))&lt;0.1,"PASS","FAIL")</f>
        <v>PASS</v>
      </c>
      <c r="C35" s="108"/>
      <c r="D35" s="108" t="s">
        <v>917</v>
      </c>
      <c r="E35" s="120" t="str">
        <f>IF(MAX(ABS('3 statement Model'!J84-'3 statement Model'!J91),ABS('3 statement Model'!K84-'3 statement Model'!K91),ABS('3 statement Model'!L84-'3 statement Model'!L91),ABS('3 statement Model'!M84-'3 statement Model'!M91),ABS('3 statement Model'!N84-'3 statement Model'!N91))&lt;0.1,"PASS","FAIL")</f>
        <v>PASS</v>
      </c>
      <c r="F35" s="108"/>
      <c r="G35" s="108" t="s">
        <v>688</v>
      </c>
      <c r="H35" s="120" t="str">
        <f>IF(MAX(ABS('3 statement Model'!J185),ABS('3 statement Model'!K185),ABS('3 statement Model'!L185),ABS('3 statement Model'!M185),ABS('3 statement Model'!N185))&lt;0.1,"PASS","FAIL")</f>
        <v>PASS</v>
      </c>
      <c r="I35" s="108"/>
      <c r="J35" s="108" t="s">
        <v>918</v>
      </c>
      <c r="K35" s="120" t="str">
        <f>IF(MAX(ABS('3 statement Model'!J99-'3 statement Model'!J297),ABS('3 statement Model'!K99-'3 statement Model'!K297),ABS('3 statement Model'!L99-'3 statement Model'!L297),ABS('3 statement Model'!M99-'3 statement Model'!M297),ABS('3 statement Model'!N99-'3 statement Model'!N297),ABS('3 statement Model'!J117-'3 statement Model'!J301),ABS('3 statement Model'!K117-'3 statement Model'!K301),ABS('3 statement Model'!L117-'3 statement Model'!L301),ABS('3 statement Model'!M117-'3 statement Model'!M301),ABS('3 statement Model'!N117-'3 statement Model'!N301),ABS('3 statement Model'!J175-'3 statement Model'!J286),ABS('3 statement Model'!K175-'3 statement Model'!K286),ABS('3 statement Model'!L175-'3 statement Model'!L286),ABS('3 statement Model'!M175-'3 statement Model'!M286),ABS('3 statement Model'!N175-'3 statement Model'!N286),ABS('3 statement Model'!J73+'3 statement Model'!J292),ABS('3 statement Model'!K73+'3 statement Model'!K292),ABS('3 statement Model'!L73+'3 statement Model'!L292),ABS('3 statement Model'!M73+'3 statement Model'!M292),ABS('3 statement Model'!N73+'3 statement Model'!N292))&lt;0.1,"PASS","FAIL")</f>
        <v>PASS</v>
      </c>
      <c r="L35" s="108"/>
      <c r="M35" s="108" t="s">
        <v>919</v>
      </c>
      <c r="N35" s="120" t="str">
        <f>"ACTIVE: "&amp;UPPER(Assumptions!M2)&amp;" | CHECKS: "&amp;IF(AND(B35="PASS",E35="PASS",H35="PASS",K35="PASS"),"PASS","REVIEW")</f>
        <v>ACTIVE: BASE | CHECKS: PASS</v>
      </c>
    </row>
    <row r="36" spans="1:14" ht="42" customHeight="1" x14ac:dyDescent="0.35">
      <c r="A36" s="5"/>
      <c r="B36" s="5"/>
      <c r="C36" s="5"/>
      <c r="D36" s="5"/>
      <c r="E36" s="5"/>
      <c r="F36" s="5"/>
      <c r="G36" s="5"/>
      <c r="H36" s="5"/>
      <c r="I36" s="5"/>
      <c r="J36" s="5"/>
      <c r="K36" s="5"/>
      <c r="L36" s="5"/>
      <c r="M36" s="5"/>
      <c r="N36" s="5"/>
    </row>
    <row r="37" spans="1:14" ht="22" customHeight="1" x14ac:dyDescent="0.35">
      <c r="A37" s="107" t="s">
        <v>920</v>
      </c>
      <c r="B37" s="107"/>
      <c r="C37" s="107"/>
      <c r="D37" s="107"/>
      <c r="E37" s="107"/>
      <c r="F37" s="107"/>
      <c r="G37" s="107"/>
      <c r="H37" s="107"/>
      <c r="I37" s="107"/>
      <c r="J37" s="107"/>
      <c r="K37" s="107"/>
      <c r="L37" s="107"/>
      <c r="M37" s="107"/>
      <c r="N37" s="107"/>
    </row>
    <row r="38" spans="1:14" ht="30" customHeight="1" x14ac:dyDescent="0.35">
      <c r="A38" s="121" t="s">
        <v>921</v>
      </c>
      <c r="B38" s="356" t="s">
        <v>927</v>
      </c>
      <c r="C38" s="356"/>
      <c r="D38" s="356"/>
      <c r="E38" s="356"/>
      <c r="F38" s="356"/>
      <c r="G38" s="356"/>
      <c r="H38" s="356"/>
      <c r="I38" s="356"/>
      <c r="J38" s="356"/>
      <c r="K38" s="356"/>
      <c r="L38" s="356"/>
      <c r="M38" s="356"/>
      <c r="N38" s="356"/>
    </row>
    <row r="39" spans="1:14" ht="30" customHeight="1" x14ac:dyDescent="0.35">
      <c r="A39" s="121" t="s">
        <v>922</v>
      </c>
      <c r="B39" s="356" t="s">
        <v>943</v>
      </c>
      <c r="C39" s="356"/>
      <c r="D39" s="356"/>
      <c r="E39" s="356"/>
      <c r="F39" s="356"/>
      <c r="G39" s="356"/>
      <c r="H39" s="356"/>
      <c r="I39" s="356"/>
      <c r="J39" s="356"/>
      <c r="K39" s="356"/>
      <c r="L39" s="356"/>
      <c r="M39" s="356"/>
      <c r="N39" s="356"/>
    </row>
    <row r="40" spans="1:14" ht="30" customHeight="1" x14ac:dyDescent="0.35">
      <c r="A40" s="121" t="s">
        <v>923</v>
      </c>
      <c r="B40" s="356" t="s">
        <v>928</v>
      </c>
      <c r="C40" s="356"/>
      <c r="D40" s="356"/>
      <c r="E40" s="356"/>
      <c r="F40" s="356"/>
      <c r="G40" s="356"/>
      <c r="H40" s="356"/>
      <c r="I40" s="356"/>
      <c r="J40" s="356"/>
      <c r="K40" s="356"/>
      <c r="L40" s="356"/>
      <c r="M40" s="356"/>
      <c r="N40" s="356"/>
    </row>
    <row r="41" spans="1:14" ht="30" customHeight="1" x14ac:dyDescent="0.35">
      <c r="A41" s="121" t="s">
        <v>924</v>
      </c>
      <c r="B41" s="356" t="s">
        <v>929</v>
      </c>
      <c r="C41" s="356"/>
      <c r="D41" s="356"/>
      <c r="E41" s="356"/>
      <c r="F41" s="356"/>
      <c r="G41" s="356"/>
      <c r="H41" s="356"/>
      <c r="I41" s="356"/>
      <c r="J41" s="356"/>
      <c r="K41" s="356"/>
      <c r="L41" s="356"/>
      <c r="M41" s="356"/>
      <c r="N41" s="356"/>
    </row>
    <row r="42" spans="1:14" ht="30" customHeight="1" x14ac:dyDescent="0.35">
      <c r="A42" s="121" t="s">
        <v>925</v>
      </c>
      <c r="B42" s="356" t="s">
        <v>944</v>
      </c>
      <c r="C42" s="356"/>
      <c r="D42" s="356"/>
      <c r="E42" s="356"/>
      <c r="F42" s="356"/>
      <c r="G42" s="356"/>
      <c r="H42" s="356"/>
      <c r="I42" s="356"/>
      <c r="J42" s="356"/>
      <c r="K42" s="356"/>
      <c r="L42" s="356"/>
      <c r="M42" s="356"/>
      <c r="N42" s="356"/>
    </row>
    <row r="43" spans="1:14" ht="30" customHeight="1" x14ac:dyDescent="0.35">
      <c r="A43" s="121" t="s">
        <v>926</v>
      </c>
      <c r="B43" s="356" t="s">
        <v>930</v>
      </c>
      <c r="C43" s="356"/>
      <c r="D43" s="356"/>
      <c r="E43" s="356"/>
      <c r="F43" s="356"/>
      <c r="G43" s="356"/>
      <c r="H43" s="356"/>
      <c r="I43" s="356"/>
      <c r="J43" s="356"/>
      <c r="K43" s="356"/>
      <c r="L43" s="356"/>
      <c r="M43" s="356"/>
      <c r="N43" s="356"/>
    </row>
    <row r="44" spans="1:14" ht="30" customHeight="1" x14ac:dyDescent="0.35">
      <c r="A44" s="5"/>
      <c r="B44" s="5"/>
      <c r="C44" s="5"/>
      <c r="D44" s="5"/>
      <c r="E44" s="5"/>
      <c r="F44" s="5"/>
      <c r="G44" s="5"/>
      <c r="H44" s="5"/>
      <c r="I44" s="5"/>
      <c r="J44" s="5"/>
      <c r="K44" s="5"/>
      <c r="L44" s="5"/>
      <c r="M44" s="5"/>
      <c r="N44" s="5"/>
    </row>
    <row r="45" spans="1:14" x14ac:dyDescent="0.35">
      <c r="A45" s="5"/>
      <c r="B45" s="5"/>
      <c r="C45" s="5"/>
      <c r="D45" s="5"/>
      <c r="E45" s="5"/>
      <c r="F45" s="5"/>
      <c r="G45" s="5"/>
      <c r="H45" s="5"/>
      <c r="I45" s="5"/>
      <c r="J45" s="5"/>
      <c r="K45" s="5"/>
      <c r="L45" s="5"/>
      <c r="M45" s="5"/>
      <c r="N45" s="5"/>
    </row>
    <row r="46" spans="1:14" x14ac:dyDescent="0.35">
      <c r="A46" s="5"/>
      <c r="B46" s="5"/>
      <c r="C46" s="5"/>
      <c r="D46" s="5"/>
      <c r="E46" s="5"/>
      <c r="F46" s="5"/>
      <c r="G46" s="5"/>
      <c r="H46" s="5"/>
      <c r="I46" s="5"/>
      <c r="J46" s="5"/>
      <c r="K46" s="5"/>
      <c r="L46" s="5"/>
      <c r="M46" s="5"/>
      <c r="N46" s="5"/>
    </row>
    <row r="47" spans="1:14" x14ac:dyDescent="0.35">
      <c r="A47" s="5"/>
      <c r="B47" s="5"/>
      <c r="C47" s="5"/>
      <c r="D47" s="5"/>
      <c r="E47" s="5"/>
      <c r="F47" s="5"/>
      <c r="G47" s="5"/>
      <c r="H47" s="5"/>
      <c r="I47" s="5"/>
      <c r="J47" s="5"/>
      <c r="K47" s="5"/>
      <c r="L47" s="5"/>
      <c r="M47" s="5"/>
      <c r="N47" s="5"/>
    </row>
    <row r="48" spans="1:14" x14ac:dyDescent="0.35">
      <c r="A48" s="5"/>
      <c r="B48" s="5"/>
      <c r="C48" s="5"/>
      <c r="D48" s="5"/>
      <c r="E48" s="5"/>
      <c r="F48" s="5"/>
      <c r="G48" s="5"/>
      <c r="H48" s="5"/>
      <c r="I48" s="5"/>
      <c r="J48" s="5"/>
      <c r="K48" s="5"/>
      <c r="L48" s="5"/>
      <c r="M48" s="5"/>
      <c r="N48" s="5"/>
    </row>
    <row r="49" spans="1:14" x14ac:dyDescent="0.35">
      <c r="A49" s="5"/>
      <c r="B49" s="5"/>
      <c r="C49" s="5"/>
      <c r="D49" s="5"/>
      <c r="E49" s="5"/>
      <c r="F49" s="5"/>
      <c r="G49" s="5"/>
      <c r="H49" s="5"/>
      <c r="I49" s="5"/>
      <c r="J49" s="5"/>
      <c r="K49" s="5"/>
      <c r="L49" s="5"/>
      <c r="M49" s="5"/>
      <c r="N49" s="5"/>
    </row>
    <row r="50" spans="1:14" x14ac:dyDescent="0.35">
      <c r="A50" s="5"/>
      <c r="B50" s="5"/>
      <c r="C50" s="5"/>
      <c r="D50" s="5"/>
      <c r="E50" s="5"/>
      <c r="F50" s="5"/>
      <c r="G50" s="5"/>
      <c r="H50" s="5"/>
      <c r="I50" s="5"/>
      <c r="J50" s="5"/>
      <c r="K50" s="5"/>
      <c r="L50" s="5"/>
      <c r="M50" s="5"/>
      <c r="N50" s="5"/>
    </row>
    <row r="51" spans="1:14" x14ac:dyDescent="0.35">
      <c r="A51" s="5"/>
      <c r="B51" s="5"/>
      <c r="C51" s="5"/>
      <c r="D51" s="5"/>
      <c r="E51" s="5"/>
      <c r="F51" s="5"/>
      <c r="G51" s="5"/>
      <c r="H51" s="5"/>
      <c r="I51" s="5"/>
      <c r="J51" s="5"/>
      <c r="K51" s="5"/>
      <c r="L51" s="5"/>
      <c r="M51" s="5"/>
      <c r="N51" s="5"/>
    </row>
    <row r="52" spans="1:14" x14ac:dyDescent="0.35">
      <c r="A52" s="5"/>
      <c r="B52" s="5"/>
      <c r="C52" s="5"/>
      <c r="D52" s="5"/>
      <c r="E52" s="5"/>
      <c r="F52" s="5"/>
      <c r="G52" s="5"/>
      <c r="H52" s="5"/>
      <c r="I52" s="5"/>
      <c r="J52" s="5"/>
      <c r="K52" s="5"/>
      <c r="L52" s="5"/>
      <c r="M52" s="5"/>
      <c r="N52" s="5"/>
    </row>
    <row r="53" spans="1:14" x14ac:dyDescent="0.35">
      <c r="A53" s="5"/>
      <c r="B53" s="5"/>
      <c r="C53" s="5"/>
      <c r="D53" s="5"/>
      <c r="E53" s="5"/>
      <c r="F53" s="5"/>
      <c r="G53" s="5"/>
      <c r="H53" s="5"/>
      <c r="I53" s="5"/>
      <c r="J53" s="5"/>
      <c r="K53" s="5"/>
      <c r="L53" s="5"/>
      <c r="M53" s="5"/>
      <c r="N53" s="5"/>
    </row>
    <row r="54" spans="1:14" x14ac:dyDescent="0.35">
      <c r="A54" s="5"/>
      <c r="B54" s="5"/>
      <c r="C54" s="5"/>
      <c r="D54" s="5"/>
      <c r="E54" s="5"/>
      <c r="F54" s="5"/>
      <c r="G54" s="5"/>
      <c r="H54" s="5"/>
      <c r="I54" s="5"/>
      <c r="J54" s="5"/>
      <c r="K54" s="5"/>
      <c r="L54" s="5"/>
      <c r="M54" s="5"/>
      <c r="N54" s="5"/>
    </row>
    <row r="55" spans="1:14" x14ac:dyDescent="0.35">
      <c r="A55" s="5"/>
      <c r="B55" s="5"/>
      <c r="C55" s="5"/>
      <c r="D55" s="5"/>
      <c r="E55" s="5"/>
      <c r="F55" s="5"/>
      <c r="G55" s="5"/>
      <c r="H55" s="5"/>
      <c r="I55" s="5"/>
      <c r="J55" s="5"/>
      <c r="K55" s="5"/>
      <c r="L55" s="5"/>
      <c r="M55" s="5"/>
      <c r="N55" s="5"/>
    </row>
    <row r="56" spans="1:14" x14ac:dyDescent="0.35">
      <c r="A56" s="5"/>
      <c r="B56" s="5"/>
      <c r="C56" s="5"/>
      <c r="D56" s="5"/>
      <c r="E56" s="5"/>
      <c r="F56" s="5"/>
      <c r="G56" s="5"/>
      <c r="H56" s="5"/>
      <c r="I56" s="5"/>
      <c r="J56" s="5"/>
      <c r="K56" s="5"/>
      <c r="L56" s="5"/>
      <c r="M56" s="5"/>
      <c r="N56" s="5"/>
    </row>
    <row r="57" spans="1:14" x14ac:dyDescent="0.35">
      <c r="A57" s="5"/>
      <c r="B57" s="5"/>
      <c r="C57" s="5"/>
      <c r="D57" s="5"/>
      <c r="E57" s="5"/>
      <c r="F57" s="5"/>
      <c r="G57" s="5"/>
      <c r="H57" s="5"/>
      <c r="I57" s="5"/>
      <c r="J57" s="5"/>
      <c r="K57" s="5"/>
      <c r="L57" s="5"/>
      <c r="M57" s="5"/>
      <c r="N57" s="5"/>
    </row>
    <row r="58" spans="1:14" x14ac:dyDescent="0.35">
      <c r="A58" s="5"/>
      <c r="B58" s="5"/>
      <c r="C58" s="5"/>
      <c r="D58" s="5"/>
      <c r="E58" s="5"/>
      <c r="F58" s="5"/>
      <c r="G58" s="5"/>
      <c r="H58" s="5"/>
      <c r="I58" s="5"/>
      <c r="J58" s="5"/>
      <c r="K58" s="5"/>
      <c r="L58" s="5"/>
      <c r="M58" s="5"/>
      <c r="N58" s="5"/>
    </row>
    <row r="59" spans="1:14" x14ac:dyDescent="0.35">
      <c r="A59" s="5"/>
      <c r="B59" s="5"/>
      <c r="C59" s="5"/>
      <c r="D59" s="5"/>
      <c r="E59" s="5"/>
      <c r="F59" s="5"/>
      <c r="G59" s="5"/>
      <c r="H59" s="5"/>
      <c r="I59" s="5"/>
      <c r="J59" s="5"/>
      <c r="K59" s="5"/>
      <c r="L59" s="5"/>
      <c r="M59" s="5"/>
      <c r="N59" s="5"/>
    </row>
    <row r="60" spans="1:14" x14ac:dyDescent="0.35">
      <c r="A60" s="5"/>
      <c r="B60" s="5"/>
      <c r="C60" s="5"/>
      <c r="D60" s="5"/>
      <c r="E60" s="5"/>
      <c r="F60" s="5"/>
      <c r="G60" s="5"/>
      <c r="H60" s="5"/>
      <c r="I60" s="5"/>
      <c r="J60" s="5"/>
      <c r="K60" s="5"/>
      <c r="L60" s="5"/>
      <c r="M60" s="5"/>
      <c r="N60" s="5"/>
    </row>
    <row r="61" spans="1:14" x14ac:dyDescent="0.35">
      <c r="A61" s="5"/>
      <c r="B61" s="5"/>
      <c r="C61" s="5"/>
      <c r="D61" s="5"/>
      <c r="E61" s="5"/>
      <c r="F61" s="5"/>
      <c r="G61" s="5"/>
      <c r="H61" s="5"/>
      <c r="I61" s="5"/>
      <c r="J61" s="5"/>
      <c r="K61" s="5"/>
      <c r="L61" s="5"/>
      <c r="M61" s="5"/>
      <c r="N61" s="5"/>
    </row>
    <row r="62" spans="1:14" x14ac:dyDescent="0.35">
      <c r="A62" s="5"/>
      <c r="B62" s="5"/>
      <c r="C62" s="5"/>
      <c r="D62" s="5"/>
      <c r="E62" s="5"/>
      <c r="F62" s="5"/>
      <c r="G62" s="5"/>
      <c r="H62" s="5"/>
      <c r="I62" s="5"/>
      <c r="J62" s="5"/>
      <c r="K62" s="5"/>
      <c r="L62" s="5"/>
      <c r="M62" s="5"/>
      <c r="N62" s="5"/>
    </row>
    <row r="63" spans="1:14" x14ac:dyDescent="0.35">
      <c r="A63" s="5"/>
      <c r="B63" s="5"/>
      <c r="C63" s="5"/>
      <c r="D63" s="5"/>
      <c r="E63" s="5"/>
      <c r="F63" s="5"/>
      <c r="G63" s="5"/>
      <c r="H63" s="5"/>
      <c r="I63" s="5"/>
      <c r="J63" s="5"/>
      <c r="K63" s="5"/>
      <c r="L63" s="5"/>
      <c r="M63" s="5"/>
      <c r="N63" s="5"/>
    </row>
    <row r="64" spans="1:14" x14ac:dyDescent="0.35">
      <c r="A64" s="5"/>
      <c r="B64" s="5"/>
      <c r="C64" s="5"/>
      <c r="D64" s="5"/>
      <c r="E64" s="5"/>
      <c r="F64" s="5"/>
      <c r="G64" s="5"/>
      <c r="H64" s="5"/>
      <c r="I64" s="5"/>
      <c r="J64" s="5"/>
      <c r="K64" s="5"/>
      <c r="L64" s="5"/>
      <c r="M64" s="5"/>
      <c r="N64" s="5"/>
    </row>
    <row r="65" spans="1:14" x14ac:dyDescent="0.35">
      <c r="A65" s="5"/>
      <c r="B65" s="5"/>
      <c r="C65" s="5"/>
      <c r="D65" s="5"/>
      <c r="E65" s="5"/>
      <c r="F65" s="5"/>
      <c r="G65" s="5"/>
      <c r="H65" s="5"/>
      <c r="I65" s="5"/>
      <c r="J65" s="5"/>
      <c r="K65" s="5"/>
      <c r="L65" s="5"/>
      <c r="M65" s="5"/>
      <c r="N65" s="5"/>
    </row>
    <row r="66" spans="1:14" x14ac:dyDescent="0.35">
      <c r="A66" s="5"/>
      <c r="B66" s="5"/>
      <c r="C66" s="5"/>
      <c r="D66" s="5"/>
      <c r="E66" s="5"/>
      <c r="F66" s="5"/>
      <c r="G66" s="5"/>
      <c r="H66" s="5"/>
      <c r="I66" s="5"/>
      <c r="J66" s="5"/>
      <c r="K66" s="5"/>
      <c r="L66" s="5"/>
      <c r="M66" s="5"/>
      <c r="N66" s="5"/>
    </row>
    <row r="67" spans="1:14" x14ac:dyDescent="0.35">
      <c r="A67" s="5"/>
      <c r="B67" s="5"/>
      <c r="C67" s="5"/>
      <c r="D67" s="5"/>
      <c r="E67" s="5"/>
      <c r="F67" s="5"/>
      <c r="G67" s="5"/>
      <c r="H67" s="5"/>
      <c r="I67" s="5"/>
      <c r="J67" s="5"/>
      <c r="K67" s="5"/>
      <c r="L67" s="5"/>
      <c r="M67" s="5"/>
      <c r="N67" s="5"/>
    </row>
    <row r="68" spans="1:14" x14ac:dyDescent="0.35">
      <c r="A68" s="5"/>
      <c r="B68" s="5"/>
      <c r="C68" s="5"/>
      <c r="D68" s="5"/>
      <c r="E68" s="5"/>
      <c r="F68" s="5"/>
      <c r="G68" s="5"/>
      <c r="H68" s="5"/>
      <c r="I68" s="5"/>
      <c r="J68" s="5"/>
      <c r="K68" s="5"/>
      <c r="L68" s="5"/>
      <c r="M68" s="5"/>
      <c r="N68" s="5"/>
    </row>
    <row r="69" spans="1:14" x14ac:dyDescent="0.35">
      <c r="A69" s="5"/>
      <c r="B69" s="5"/>
      <c r="C69" s="5"/>
      <c r="D69" s="5"/>
      <c r="E69" s="5"/>
      <c r="F69" s="5"/>
      <c r="G69" s="5"/>
      <c r="H69" s="5"/>
      <c r="I69" s="5"/>
      <c r="J69" s="5"/>
      <c r="K69" s="5"/>
      <c r="L69" s="5"/>
      <c r="M69" s="5"/>
      <c r="N69" s="5"/>
    </row>
    <row r="70" spans="1:14" x14ac:dyDescent="0.35">
      <c r="A70" s="5"/>
      <c r="B70" s="5"/>
      <c r="C70" s="5"/>
      <c r="D70" s="5"/>
      <c r="E70" s="5"/>
      <c r="F70" s="5"/>
      <c r="G70" s="5"/>
      <c r="H70" s="5"/>
      <c r="I70" s="5"/>
      <c r="J70" s="5"/>
      <c r="K70" s="5"/>
      <c r="L70" s="5"/>
      <c r="M70" s="5"/>
      <c r="N70" s="5"/>
    </row>
    <row r="71" spans="1:14" x14ac:dyDescent="0.35">
      <c r="A71" s="5"/>
      <c r="B71" s="5"/>
      <c r="C71" s="5"/>
      <c r="D71" s="5"/>
      <c r="E71" s="5"/>
      <c r="F71" s="5"/>
      <c r="G71" s="5"/>
      <c r="H71" s="5"/>
      <c r="I71" s="5"/>
      <c r="J71" s="5"/>
      <c r="K71" s="5"/>
      <c r="L71" s="5"/>
      <c r="M71" s="5"/>
      <c r="N71" s="5"/>
    </row>
    <row r="72" spans="1:14" x14ac:dyDescent="0.35">
      <c r="A72" s="5"/>
      <c r="B72" s="5"/>
      <c r="C72" s="5"/>
      <c r="D72" s="5"/>
      <c r="E72" s="5"/>
      <c r="F72" s="5"/>
      <c r="G72" s="5"/>
      <c r="H72" s="5"/>
      <c r="I72" s="5"/>
      <c r="J72" s="5"/>
      <c r="K72" s="5"/>
      <c r="L72" s="5"/>
      <c r="M72" s="5"/>
      <c r="N72" s="5"/>
    </row>
    <row r="73" spans="1:14" x14ac:dyDescent="0.35">
      <c r="A73" s="5"/>
      <c r="B73" s="5"/>
      <c r="C73" s="5"/>
      <c r="D73" s="5"/>
      <c r="E73" s="5"/>
      <c r="F73" s="5"/>
      <c r="G73" s="5"/>
      <c r="H73" s="5"/>
      <c r="I73" s="5"/>
      <c r="J73" s="5"/>
      <c r="K73" s="5"/>
      <c r="L73" s="5"/>
      <c r="M73" s="5"/>
      <c r="N73" s="5"/>
    </row>
    <row r="74" spans="1:14" x14ac:dyDescent="0.35">
      <c r="A74" s="5"/>
      <c r="B74" s="5"/>
      <c r="C74" s="5"/>
      <c r="D74" s="5"/>
      <c r="E74" s="5"/>
      <c r="F74" s="5"/>
      <c r="G74" s="5"/>
      <c r="H74" s="5"/>
      <c r="I74" s="5"/>
      <c r="J74" s="5"/>
      <c r="K74" s="5"/>
      <c r="L74" s="5"/>
      <c r="M74" s="5"/>
      <c r="N74" s="5"/>
    </row>
    <row r="75" spans="1:14" x14ac:dyDescent="0.35">
      <c r="A75" s="5"/>
      <c r="B75" s="5"/>
      <c r="C75" s="5"/>
      <c r="D75" s="5"/>
      <c r="E75" s="5"/>
      <c r="F75" s="5"/>
      <c r="G75" s="5"/>
      <c r="H75" s="5"/>
      <c r="I75" s="5"/>
      <c r="J75" s="5"/>
      <c r="K75" s="5"/>
      <c r="L75" s="5"/>
      <c r="M75" s="5"/>
      <c r="N75" s="5"/>
    </row>
    <row r="76" spans="1:14" x14ac:dyDescent="0.35">
      <c r="A76" s="5"/>
      <c r="B76" s="5"/>
      <c r="C76" s="5"/>
      <c r="D76" s="5"/>
      <c r="E76" s="5"/>
      <c r="F76" s="5"/>
      <c r="G76" s="5"/>
      <c r="H76" s="5"/>
      <c r="I76" s="5"/>
      <c r="J76" s="5"/>
      <c r="K76" s="5"/>
      <c r="L76" s="5"/>
      <c r="M76" s="5"/>
      <c r="N76" s="5"/>
    </row>
    <row r="77" spans="1:14" x14ac:dyDescent="0.35">
      <c r="A77" s="5"/>
      <c r="B77" s="5"/>
      <c r="C77" s="5"/>
      <c r="D77" s="5"/>
      <c r="E77" s="5"/>
      <c r="F77" s="5"/>
      <c r="G77" s="5"/>
      <c r="H77" s="5"/>
      <c r="I77" s="5"/>
      <c r="J77" s="5"/>
      <c r="K77" s="5"/>
      <c r="L77" s="5"/>
      <c r="M77" s="5"/>
      <c r="N77" s="5"/>
    </row>
    <row r="78" spans="1:14" x14ac:dyDescent="0.35">
      <c r="A78" s="5"/>
      <c r="B78" s="5"/>
      <c r="C78" s="5"/>
      <c r="D78" s="5"/>
      <c r="E78" s="5"/>
      <c r="F78" s="5"/>
      <c r="G78" s="5"/>
      <c r="H78" s="5"/>
      <c r="I78" s="5"/>
      <c r="J78" s="5"/>
      <c r="K78" s="5"/>
      <c r="L78" s="5"/>
      <c r="M78" s="5"/>
      <c r="N78" s="5"/>
    </row>
    <row r="79" spans="1:14" x14ac:dyDescent="0.35">
      <c r="A79" s="5"/>
      <c r="B79" s="5"/>
      <c r="C79" s="5"/>
      <c r="D79" s="5"/>
      <c r="E79" s="5"/>
      <c r="F79" s="5"/>
      <c r="G79" s="5"/>
      <c r="H79" s="5"/>
      <c r="I79" s="5"/>
      <c r="J79" s="5"/>
      <c r="K79" s="5"/>
      <c r="L79" s="5"/>
      <c r="M79" s="5"/>
      <c r="N79" s="5"/>
    </row>
    <row r="80" spans="1:14" x14ac:dyDescent="0.35">
      <c r="A80" s="5"/>
      <c r="B80" s="5"/>
      <c r="C80" s="5"/>
      <c r="D80" s="5"/>
      <c r="E80" s="5"/>
      <c r="F80" s="5"/>
      <c r="G80" s="5"/>
      <c r="H80" s="5"/>
      <c r="I80" s="5"/>
      <c r="J80" s="5"/>
      <c r="K80" s="5"/>
      <c r="L80" s="5"/>
      <c r="M80" s="5"/>
      <c r="N80" s="5"/>
    </row>
  </sheetData>
  <mergeCells count="23">
    <mergeCell ref="B40:N40"/>
    <mergeCell ref="B41:N41"/>
    <mergeCell ref="B42:N42"/>
    <mergeCell ref="B43:N43"/>
    <mergeCell ref="A2:N2"/>
    <mergeCell ref="A3:N3"/>
    <mergeCell ref="D21:N21"/>
    <mergeCell ref="D22:N22"/>
    <mergeCell ref="D23:N23"/>
    <mergeCell ref="D31:N31"/>
    <mergeCell ref="B38:N38"/>
    <mergeCell ref="B39:N39"/>
    <mergeCell ref="D24:N24"/>
    <mergeCell ref="D25:N25"/>
    <mergeCell ref="D26:N26"/>
    <mergeCell ref="D27:N27"/>
    <mergeCell ref="D28:N28"/>
    <mergeCell ref="A32:N32"/>
    <mergeCell ref="E15:N15"/>
    <mergeCell ref="E16:N16"/>
    <mergeCell ref="E17:N17"/>
    <mergeCell ref="D29:N29"/>
    <mergeCell ref="D30:N30"/>
  </mergeCells>
  <pageMargins left="0.7" right="0.7" top="0.75" bottom="0.75" header="0.3" footer="0.3"/>
  <pageSetup scale="4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F0D46-E011-40AC-996A-CA7646CE9CD0}">
  <dimension ref="B1:N134"/>
  <sheetViews>
    <sheetView showGridLines="0" workbookViewId="0">
      <pane xSplit="2" ySplit="5" topLeftCell="C9" activePane="bottomRight" state="frozen"/>
      <selection pane="topRight" activeCell="C1" sqref="C1"/>
      <selection pane="bottomLeft" activeCell="A6" sqref="A6"/>
      <selection pane="bottomRight" activeCell="J131" sqref="J131"/>
    </sheetView>
  </sheetViews>
  <sheetFormatPr defaultRowHeight="14.5" x14ac:dyDescent="0.35"/>
  <cols>
    <col min="1" max="1" width="2.6328125" customWidth="1"/>
    <col min="2" max="2" width="34" bestFit="1" customWidth="1"/>
    <col min="3" max="4" width="2.6328125" customWidth="1"/>
  </cols>
  <sheetData>
    <row r="1" spans="2:14" x14ac:dyDescent="0.35">
      <c r="B1" s="52" t="s">
        <v>0</v>
      </c>
      <c r="C1" s="53"/>
      <c r="D1" s="53"/>
      <c r="E1" s="53"/>
      <c r="F1" s="53"/>
      <c r="G1" s="53"/>
      <c r="H1" s="53"/>
      <c r="I1" s="53"/>
      <c r="J1" s="53"/>
      <c r="K1" s="53"/>
      <c r="L1" s="53"/>
      <c r="M1" s="53"/>
      <c r="N1" s="305" t="str">
        <f>HYPERLINK("#'Cover'!A1","Cover")</f>
        <v>Cover</v>
      </c>
    </row>
    <row r="2" spans="2:14" x14ac:dyDescent="0.35">
      <c r="F2" s="54" t="s">
        <v>1</v>
      </c>
    </row>
    <row r="3" spans="2:14" x14ac:dyDescent="0.35">
      <c r="B3" s="55"/>
    </row>
    <row r="4" spans="2:14" x14ac:dyDescent="0.35">
      <c r="B4" s="56" t="s">
        <v>2</v>
      </c>
      <c r="E4" s="57" t="s">
        <v>3</v>
      </c>
      <c r="F4" s="58"/>
      <c r="G4" s="58"/>
      <c r="H4" s="58"/>
      <c r="I4" s="58" t="s">
        <v>1113</v>
      </c>
      <c r="J4" s="59"/>
      <c r="K4" s="59"/>
      <c r="L4" s="59"/>
      <c r="M4" s="59"/>
      <c r="N4" s="59"/>
    </row>
    <row r="5" spans="2:14" x14ac:dyDescent="0.35">
      <c r="B5" s="60" t="s">
        <v>4</v>
      </c>
      <c r="D5" s="61"/>
      <c r="E5" s="62" t="str">
        <f>(2021+COLUMN()-COLUMN($D$5))&amp;IF(COLUMN()-COLUMN($D$5)&lt;5,"A","E")</f>
        <v>2022A</v>
      </c>
      <c r="F5" s="62" t="str">
        <f>(2021+COLUMN()-COLUMN($D$5))&amp;IF(COLUMN()-COLUMN($D$5)&lt;5,"A","E")</f>
        <v>2023A</v>
      </c>
      <c r="G5" s="62" t="str">
        <f>(2021+COLUMN()-COLUMN($D$5))&amp;IF(COLUMN()-COLUMN($D$5)&lt;5,"A","E")</f>
        <v>2024A</v>
      </c>
      <c r="H5" s="62" t="str">
        <f>(2021+COLUMN()-COLUMN($D$5))&amp;IF(COLUMN()-COLUMN($D$5)&lt;5,"A","E")</f>
        <v>2025A</v>
      </c>
      <c r="I5" s="62" t="s">
        <v>5</v>
      </c>
      <c r="J5" s="63" t="str">
        <f>(2021+COLUMN()-COLUMN($D$5))&amp;IF(COLUMN()-COLUMN($D$5)&lt;5,"A","E")</f>
        <v>2027E</v>
      </c>
      <c r="K5" s="63" t="str">
        <f>(2021+COLUMN()-COLUMN($D$5))&amp;IF(COLUMN()-COLUMN($D$5)&lt;5,"A","E")</f>
        <v>2028E</v>
      </c>
      <c r="L5" s="63" t="str">
        <f>(2021+COLUMN()-COLUMN($D$5))&amp;IF(COLUMN()-COLUMN($D$5)&lt;5,"A","E")</f>
        <v>2029E</v>
      </c>
      <c r="M5" s="63" t="str">
        <f>(2021+COLUMN()-COLUMN($D$5))&amp;IF(COLUMN()-COLUMN($D$5)&lt;5,"A","E")</f>
        <v>2030E</v>
      </c>
      <c r="N5" s="63" t="str">
        <f>(2021+COLUMN()-COLUMN($D$5))&amp;IF(COLUMN()-COLUMN($D$5)&lt;5,"A","E")</f>
        <v>2031E</v>
      </c>
    </row>
    <row r="6" spans="2:14" x14ac:dyDescent="0.35">
      <c r="B6" s="54" t="s">
        <v>6</v>
      </c>
    </row>
    <row r="7" spans="2:14" x14ac:dyDescent="0.35">
      <c r="B7" s="64" t="s">
        <v>7</v>
      </c>
      <c r="D7" s="87"/>
      <c r="E7" s="88">
        <v>72732</v>
      </c>
      <c r="F7" s="88">
        <v>64699</v>
      </c>
      <c r="G7" s="88">
        <v>64773</v>
      </c>
      <c r="H7" s="88">
        <v>63946</v>
      </c>
      <c r="I7" s="204">
        <v>64696</v>
      </c>
      <c r="J7" s="41">
        <f>'3 statement Model'!J7</f>
        <v>65989.919999999998</v>
      </c>
      <c r="K7" s="41">
        <f>'3 statement Model'!K7</f>
        <v>67309.718399999998</v>
      </c>
      <c r="L7" s="41">
        <f>'3 statement Model'!L7</f>
        <v>68655.912767999995</v>
      </c>
      <c r="M7" s="41">
        <f>'3 statement Model'!M7</f>
        <v>70029.031023360003</v>
      </c>
      <c r="N7" s="41">
        <f>'3 statement Model'!N7</f>
        <v>71429.6116438272</v>
      </c>
    </row>
    <row r="8" spans="2:14" x14ac:dyDescent="0.35">
      <c r="B8" s="64" t="s">
        <v>8</v>
      </c>
      <c r="D8" s="87"/>
      <c r="E8" s="88">
        <v>125538</v>
      </c>
      <c r="F8" s="88">
        <v>147216</v>
      </c>
      <c r="G8" s="88">
        <v>180349</v>
      </c>
      <c r="H8" s="88">
        <v>217778</v>
      </c>
      <c r="I8" s="204">
        <v>267143</v>
      </c>
      <c r="J8" s="41">
        <f>'3 statement Model'!J8</f>
        <v>324039.12000000005</v>
      </c>
      <c r="K8" s="41">
        <f>'3 statement Model'!K8</f>
        <v>392975.83160000003</v>
      </c>
      <c r="L8" s="41">
        <f>'3 statement Model'!L8</f>
        <v>467858.90484000015</v>
      </c>
      <c r="M8" s="41">
        <f>'3 statement Model'!M8</f>
        <v>548189.76999288017</v>
      </c>
      <c r="N8" s="41">
        <f>'3 statement Model'!N8</f>
        <v>630597.60923394014</v>
      </c>
    </row>
    <row r="9" spans="2:14" ht="15" thickBot="1" x14ac:dyDescent="0.4">
      <c r="B9" s="65" t="s">
        <v>9</v>
      </c>
      <c r="D9" s="95"/>
      <c r="E9" s="96">
        <f t="shared" ref="E9:I9" si="0">SUM(E7:E8)</f>
        <v>198270</v>
      </c>
      <c r="F9" s="96">
        <f>SUM(F7:F8)</f>
        <v>211915</v>
      </c>
      <c r="G9" s="96">
        <f>SUM(G7:G8)</f>
        <v>245122</v>
      </c>
      <c r="H9" s="96">
        <f>SUM(H7:H8)</f>
        <v>281724</v>
      </c>
      <c r="I9" s="96">
        <f>SUM(I7:I8)</f>
        <v>331839</v>
      </c>
      <c r="J9" s="98">
        <f>IF(COUNT(J7:J8)=0,"",SUM(J7:J8))</f>
        <v>390029.04000000004</v>
      </c>
      <c r="K9" s="98">
        <f>IF(COUNT(K7:K8)=0,"",SUM(K7:K8))</f>
        <v>460285.55000000005</v>
      </c>
      <c r="L9" s="98">
        <f>IF(COUNT(L7:L8)=0,"",SUM(L7:L8))</f>
        <v>536514.81760800013</v>
      </c>
      <c r="M9" s="98">
        <f>IF(COUNT(M7:M8)=0,"",SUM(M7:M8))</f>
        <v>618218.80101624015</v>
      </c>
      <c r="N9" s="98">
        <f>IF(COUNT(N7:N8)=0,"",SUM(N7:N8))</f>
        <v>702027.22087776731</v>
      </c>
    </row>
    <row r="10" spans="2:14" x14ac:dyDescent="0.35">
      <c r="B10" s="54" t="s">
        <v>10</v>
      </c>
      <c r="E10" s="2"/>
      <c r="F10" s="2"/>
      <c r="G10" s="2"/>
      <c r="H10" s="2"/>
      <c r="I10" s="2"/>
    </row>
    <row r="11" spans="2:14" x14ac:dyDescent="0.35">
      <c r="B11" s="64" t="s">
        <v>7</v>
      </c>
      <c r="D11" s="87"/>
      <c r="E11" s="88">
        <v>19064</v>
      </c>
      <c r="F11" s="88">
        <v>17804</v>
      </c>
      <c r="G11" s="88">
        <v>15272</v>
      </c>
      <c r="H11" s="88">
        <v>13501</v>
      </c>
      <c r="I11" s="204">
        <v>12098</v>
      </c>
      <c r="J11" s="41">
        <f>'3 statement Model'!J12</f>
        <v>12339.96</v>
      </c>
      <c r="K11" s="41">
        <f>'3 statement Model'!K12</f>
        <v>12586.759199999999</v>
      </c>
      <c r="L11" s="41">
        <f>'3 statement Model'!L12</f>
        <v>12838.494383999998</v>
      </c>
      <c r="M11" s="41">
        <f>'3 statement Model'!M12</f>
        <v>13095.26427168</v>
      </c>
      <c r="N11" s="41">
        <f>'3 statement Model'!N12</f>
        <v>13357.169557113599</v>
      </c>
    </row>
    <row r="12" spans="2:14" x14ac:dyDescent="0.35">
      <c r="B12" s="64" t="s">
        <v>8</v>
      </c>
      <c r="D12" s="87"/>
      <c r="E12" s="88">
        <v>43586</v>
      </c>
      <c r="F12" s="88">
        <v>48059</v>
      </c>
      <c r="G12" s="88">
        <v>58842</v>
      </c>
      <c r="H12" s="88">
        <v>74330</v>
      </c>
      <c r="I12" s="204">
        <v>94276</v>
      </c>
      <c r="J12" s="41">
        <f>'3 statement Model'!J13</f>
        <v>121830.02976</v>
      </c>
      <c r="K12" s="41">
        <f>'3 statement Model'!K13</f>
        <v>145751.47</v>
      </c>
      <c r="L12" s="41">
        <f>'3 statement Model'!L13</f>
        <v>170649.57323793604</v>
      </c>
      <c r="M12" s="41">
        <f>'3 statement Model'!M13</f>
        <v>197099.12807384162</v>
      </c>
      <c r="N12" s="41">
        <f>'3 statement Model'!N13</f>
        <v>223928.03109957173</v>
      </c>
    </row>
    <row r="13" spans="2:14" ht="15" thickBot="1" x14ac:dyDescent="0.4">
      <c r="B13" s="67" t="s">
        <v>11</v>
      </c>
      <c r="C13" s="68"/>
      <c r="D13" s="97"/>
      <c r="E13" s="96">
        <f t="shared" ref="E13:I13" si="1">SUM(E11:E12)</f>
        <v>62650</v>
      </c>
      <c r="F13" s="96">
        <f>SUM(F11:F12)</f>
        <v>65863</v>
      </c>
      <c r="G13" s="96">
        <f>SUM(G11:G12)</f>
        <v>74114</v>
      </c>
      <c r="H13" s="96">
        <f>SUM(H11:H12)</f>
        <v>87831</v>
      </c>
      <c r="I13" s="96">
        <f>SUM(I11:I12)</f>
        <v>106374</v>
      </c>
      <c r="J13" s="98">
        <f>IF(COUNT(J11:J12)=0,"",SUM(J11:J12))</f>
        <v>134169.98976</v>
      </c>
      <c r="K13" s="98">
        <f>IF(COUNT(K11:K12)=0,"",SUM(K11:K12))</f>
        <v>158338.2292</v>
      </c>
      <c r="L13" s="98">
        <f>IF(COUNT(L11:L12)=0,"",SUM(L11:L12))</f>
        <v>183488.06762193603</v>
      </c>
      <c r="M13" s="98">
        <f>IF(COUNT(M11:M12)=0,"",SUM(M11:M12))</f>
        <v>210194.39234552163</v>
      </c>
      <c r="N13" s="98">
        <f>IF(COUNT(N11:N12)=0,"",SUM(N11:N12))</f>
        <v>237285.20065668534</v>
      </c>
    </row>
    <row r="14" spans="2:14" x14ac:dyDescent="0.35">
      <c r="B14" s="67"/>
      <c r="C14" s="68"/>
      <c r="D14" s="68"/>
      <c r="E14" s="50"/>
      <c r="F14" s="50"/>
      <c r="G14" s="50"/>
      <c r="H14" s="50"/>
      <c r="I14" s="50"/>
      <c r="J14" s="69"/>
      <c r="K14" s="69"/>
      <c r="L14" s="69"/>
      <c r="M14" s="69"/>
      <c r="N14" s="69"/>
    </row>
    <row r="15" spans="2:14" ht="15" thickBot="1" x14ac:dyDescent="0.4">
      <c r="B15" s="70" t="s">
        <v>12</v>
      </c>
      <c r="C15" s="68"/>
      <c r="D15" s="97"/>
      <c r="E15" s="96">
        <f t="shared" ref="E15:I15" si="2">E9-E13</f>
        <v>135620</v>
      </c>
      <c r="F15" s="96">
        <f>F9-F13</f>
        <v>146052</v>
      </c>
      <c r="G15" s="96">
        <f>G9-G13</f>
        <v>171008</v>
      </c>
      <c r="H15" s="96">
        <f>H9-H13</f>
        <v>193893</v>
      </c>
      <c r="I15" s="96">
        <f>I9-I13</f>
        <v>225465</v>
      </c>
      <c r="J15" s="98">
        <f>IF(OR(J9="",J13=""),"",J9-J13)</f>
        <v>255859.05024000004</v>
      </c>
      <c r="K15" s="98">
        <f>IF(OR(K9="",K13=""),"",K9-K13)</f>
        <v>301947.32080000004</v>
      </c>
      <c r="L15" s="98">
        <f>IF(OR(L9="",L13=""),"",L9-L13)</f>
        <v>353026.7499860641</v>
      </c>
      <c r="M15" s="98">
        <f>IF(OR(M9="",M13=""),"",M9-M13)</f>
        <v>408024.40867071855</v>
      </c>
      <c r="N15" s="98">
        <f>IF(OR(N9="",N13=""),"",N9-N13)</f>
        <v>464742.02022108197</v>
      </c>
    </row>
    <row r="16" spans="2:14" x14ac:dyDescent="0.35">
      <c r="B16" s="70"/>
      <c r="C16" s="68"/>
      <c r="D16" s="68"/>
      <c r="E16" s="50"/>
      <c r="F16" s="50"/>
      <c r="G16" s="50"/>
      <c r="H16" s="50"/>
      <c r="I16" s="50"/>
      <c r="J16" s="69"/>
      <c r="K16" s="69"/>
      <c r="L16" s="69"/>
      <c r="M16" s="69"/>
      <c r="N16" s="69"/>
    </row>
    <row r="17" spans="2:14" x14ac:dyDescent="0.35">
      <c r="B17" s="1" t="s">
        <v>13</v>
      </c>
      <c r="D17" s="87"/>
      <c r="E17" s="88">
        <v>24512</v>
      </c>
      <c r="F17" s="88">
        <v>27195</v>
      </c>
      <c r="G17" s="88">
        <v>29510</v>
      </c>
      <c r="H17" s="88">
        <v>32488</v>
      </c>
      <c r="I17" s="204">
        <v>35562</v>
      </c>
      <c r="J17" s="41">
        <f>'3 statement Model'!J18</f>
        <v>38612.874960000008</v>
      </c>
      <c r="K17" s="41">
        <f>'3 statement Model'!K18</f>
        <v>45107.983900000007</v>
      </c>
      <c r="L17" s="41">
        <f>'3 statement Model'!L18</f>
        <v>52041.937307976012</v>
      </c>
      <c r="M17" s="41">
        <f>'3 statement Model'!M18</f>
        <v>59349.004897559054</v>
      </c>
      <c r="N17" s="41">
        <f>'3 statement Model'!N18</f>
        <v>65990.558762510133</v>
      </c>
    </row>
    <row r="18" spans="2:14" x14ac:dyDescent="0.35">
      <c r="B18" s="1" t="s">
        <v>14</v>
      </c>
      <c r="D18" s="87"/>
      <c r="E18" s="88">
        <v>21825</v>
      </c>
      <c r="F18" s="88">
        <v>22759</v>
      </c>
      <c r="G18" s="88">
        <v>24456</v>
      </c>
      <c r="H18" s="88">
        <v>25654</v>
      </c>
      <c r="I18" s="204">
        <v>26710</v>
      </c>
      <c r="J18" s="41">
        <f>'3 statement Model'!J19</f>
        <v>28082.09088</v>
      </c>
      <c r="K18" s="41">
        <f>'3 statement Model'!K19</f>
        <v>32680.27405</v>
      </c>
      <c r="L18" s="41">
        <f>'3 statement Model'!L19</f>
        <v>37556.037232560011</v>
      </c>
      <c r="M18" s="41">
        <f>'3 statement Model'!M19</f>
        <v>42657.097270120576</v>
      </c>
      <c r="N18" s="41">
        <f>'3 statement Model'!N19</f>
        <v>47035.823798810416</v>
      </c>
    </row>
    <row r="19" spans="2:14" x14ac:dyDescent="0.35">
      <c r="B19" s="1" t="s">
        <v>15</v>
      </c>
      <c r="D19" s="87"/>
      <c r="E19" s="88">
        <v>5900</v>
      </c>
      <c r="F19" s="88">
        <v>7575</v>
      </c>
      <c r="G19" s="88">
        <v>7609</v>
      </c>
      <c r="H19" s="88">
        <v>7223</v>
      </c>
      <c r="I19" s="204">
        <v>7956</v>
      </c>
      <c r="J19" s="41">
        <f>'3 statement Model'!J20</f>
        <v>8190.609840000001</v>
      </c>
      <c r="K19" s="41">
        <f>'3 statement Model'!K20</f>
        <v>9665.9965500000017</v>
      </c>
      <c r="L19" s="41">
        <f>'3 statement Model'!L20</f>
        <v>10730.296352160003</v>
      </c>
      <c r="M19" s="41">
        <f>'3 statement Model'!M20</f>
        <v>12364.376020324804</v>
      </c>
      <c r="N19" s="41">
        <f>'3 statement Model'!N20</f>
        <v>14040.544417555346</v>
      </c>
    </row>
    <row r="20" spans="2:14" ht="15" thickBot="1" x14ac:dyDescent="0.4">
      <c r="B20" s="71" t="s">
        <v>16</v>
      </c>
      <c r="C20" s="68"/>
      <c r="D20" s="97"/>
      <c r="E20" s="96">
        <f>E22+E21</f>
        <v>97843</v>
      </c>
      <c r="F20" s="96">
        <f>F22+F21</f>
        <v>102384</v>
      </c>
      <c r="G20" s="96">
        <f>G22+G21</f>
        <v>130391</v>
      </c>
      <c r="H20" s="96">
        <f>H22+H21</f>
        <v>157961</v>
      </c>
      <c r="I20" s="96">
        <f>I22+I21</f>
        <v>193771</v>
      </c>
      <c r="J20" s="51">
        <f>'3 statement Model'!J21</f>
        <v>234680.35456000007</v>
      </c>
      <c r="K20" s="51">
        <f>'3 statement Model'!K21</f>
        <v>281830.21190000005</v>
      </c>
      <c r="L20" s="51">
        <f>'3 statement Model'!L21</f>
        <v>334436.7357653681</v>
      </c>
      <c r="M20" s="51">
        <f>'3 statement Model'!M21</f>
        <v>389564.10378735414</v>
      </c>
      <c r="N20" s="51">
        <f>'3 statement Model'!N21</f>
        <v>448271.99401724292</v>
      </c>
    </row>
    <row r="21" spans="2:14" x14ac:dyDescent="0.35">
      <c r="B21" s="72" t="s">
        <v>17</v>
      </c>
      <c r="C21" s="68"/>
      <c r="D21" s="97"/>
      <c r="E21" s="99">
        <f>E57</f>
        <v>14460</v>
      </c>
      <c r="F21" s="99">
        <f>F57</f>
        <v>13861</v>
      </c>
      <c r="G21" s="99">
        <f>G57</f>
        <v>20958</v>
      </c>
      <c r="H21" s="99">
        <f>H57</f>
        <v>29433</v>
      </c>
      <c r="I21" s="100">
        <f>I57</f>
        <v>38534</v>
      </c>
      <c r="J21" s="306">
        <f>'3 statement Model'!J23</f>
        <v>53706.880000000005</v>
      </c>
      <c r="K21" s="306">
        <f>'3 statement Model'!K23</f>
        <v>67337.145600000003</v>
      </c>
      <c r="L21" s="306">
        <f>'3 statement Model'!L23</f>
        <v>81738.256672000003</v>
      </c>
      <c r="M21" s="306">
        <f>'3 statement Model'!M23</f>
        <v>95910.173304640004</v>
      </c>
      <c r="N21" s="306">
        <f>'3 statement Model'!N23</f>
        <v>110596.9007750368</v>
      </c>
    </row>
    <row r="22" spans="2:14" ht="15" thickBot="1" x14ac:dyDescent="0.4">
      <c r="B22" s="70" t="s">
        <v>18</v>
      </c>
      <c r="C22" s="68"/>
      <c r="D22" s="97"/>
      <c r="E22" s="96">
        <f>E15-SUM(E17:E19)</f>
        <v>83383</v>
      </c>
      <c r="F22" s="96">
        <f>F15-SUM(F17:F19)</f>
        <v>88523</v>
      </c>
      <c r="G22" s="96">
        <f>G15-SUM(G17:G19)</f>
        <v>109433</v>
      </c>
      <c r="H22" s="96">
        <f>H15-SUM(H17:H19)</f>
        <v>128528</v>
      </c>
      <c r="I22" s="96">
        <f>I15-SUM(I17:I19)</f>
        <v>155237</v>
      </c>
      <c r="J22" s="51">
        <f>'3 statement Model'!J25</f>
        <v>180973.47456000006</v>
      </c>
      <c r="K22" s="51">
        <f>'3 statement Model'!K25</f>
        <v>214493.06630000006</v>
      </c>
      <c r="L22" s="51">
        <f>'3 statement Model'!L25</f>
        <v>252698.47909336808</v>
      </c>
      <c r="M22" s="51">
        <f>'3 statement Model'!M25</f>
        <v>293653.93048271415</v>
      </c>
      <c r="N22" s="51">
        <f>'3 statement Model'!N25</f>
        <v>337675.09324220609</v>
      </c>
    </row>
    <row r="23" spans="2:14" x14ac:dyDescent="0.35">
      <c r="B23" s="1" t="s">
        <v>19</v>
      </c>
      <c r="D23" s="87"/>
      <c r="E23" s="88">
        <v>2094</v>
      </c>
      <c r="F23" s="88">
        <v>2994</v>
      </c>
      <c r="G23" s="88">
        <v>3157</v>
      </c>
      <c r="H23" s="88">
        <v>2647</v>
      </c>
      <c r="I23" s="94">
        <f t="shared" ref="I23" si="3">IF(OR(H23="",G98="",H98="",I98=""),"",H23/AVERAGE(G98,H98)*AVERAGE(H98,I98))</f>
        <v>2789.8247214613752</v>
      </c>
      <c r="J23" s="41">
        <f>'3 statement Model'!J26</f>
        <v>2689.5050000000001</v>
      </c>
      <c r="K23" s="41">
        <f>'3 statement Model'!K26</f>
        <v>3517.2654468419792</v>
      </c>
      <c r="L23" s="41">
        <f>'3 statement Model'!L26</f>
        <v>5080.5689491949151</v>
      </c>
      <c r="M23" s="41">
        <f>'3 statement Model'!M26</f>
        <v>7610.0666885566216</v>
      </c>
      <c r="N23" s="41">
        <f>'3 statement Model'!N26</f>
        <v>10997.845921931057</v>
      </c>
    </row>
    <row r="24" spans="2:14" x14ac:dyDescent="0.35">
      <c r="B24" s="1" t="s">
        <v>20</v>
      </c>
      <c r="D24" s="87"/>
      <c r="E24" s="88">
        <v>-2063</v>
      </c>
      <c r="F24" s="88">
        <v>-1968</v>
      </c>
      <c r="G24" s="88">
        <v>-2935</v>
      </c>
      <c r="H24" s="88">
        <v>-2385</v>
      </c>
      <c r="I24" s="88">
        <v>-3051</v>
      </c>
      <c r="J24" s="41">
        <f>'3 statement Model'!J27</f>
        <v>-5169.0662499999999</v>
      </c>
      <c r="K24" s="41">
        <f>'3 statement Model'!K27</f>
        <v>-5446.6190624999999</v>
      </c>
      <c r="L24" s="41">
        <f>'3 statement Model'!L27</f>
        <v>-5712.7091406250001</v>
      </c>
      <c r="M24" s="41">
        <f>'3 statement Model'!M27</f>
        <v>-5965.1667122395829</v>
      </c>
      <c r="N24" s="41">
        <f>'3 statement Model'!N27</f>
        <v>-6171.5861528862843</v>
      </c>
    </row>
    <row r="25" spans="2:14" x14ac:dyDescent="0.35">
      <c r="B25" s="1" t="s">
        <v>21</v>
      </c>
      <c r="D25" s="95"/>
      <c r="E25" s="101">
        <f>E26-E23-E24</f>
        <v>302</v>
      </c>
      <c r="F25" s="101">
        <f>F26-F23-F24</f>
        <v>-238</v>
      </c>
      <c r="G25" s="101">
        <f>G26-G23-G24</f>
        <v>-1868</v>
      </c>
      <c r="H25" s="101">
        <f>H26-H23-H24</f>
        <v>-5163</v>
      </c>
      <c r="I25" s="94">
        <f t="shared" ref="I25:N25" si="4">IF(OR(I26="",I23="",I24=""),"",I26-I23-I24)</f>
        <v>10958.175278538625</v>
      </c>
      <c r="J25" s="7">
        <f t="shared" si="4"/>
        <v>0</v>
      </c>
      <c r="K25" s="7">
        <f t="shared" si="4"/>
        <v>0</v>
      </c>
      <c r="L25" s="7">
        <f t="shared" si="4"/>
        <v>0</v>
      </c>
      <c r="M25" s="7">
        <f t="shared" si="4"/>
        <v>0</v>
      </c>
      <c r="N25" s="7">
        <f t="shared" si="4"/>
        <v>0</v>
      </c>
    </row>
    <row r="26" spans="2:14" x14ac:dyDescent="0.35">
      <c r="B26" s="1" t="s">
        <v>22</v>
      </c>
      <c r="D26" s="87"/>
      <c r="E26" s="88">
        <v>333</v>
      </c>
      <c r="F26" s="88">
        <v>788</v>
      </c>
      <c r="G26" s="88">
        <v>-1646</v>
      </c>
      <c r="H26" s="88">
        <v>-4901</v>
      </c>
      <c r="I26" s="204">
        <v>10697</v>
      </c>
      <c r="J26" s="41">
        <f>'3 statement Model'!J29</f>
        <v>-2479.5612499999997</v>
      </c>
      <c r="K26" s="41">
        <f>'3 statement Model'!K29</f>
        <v>-1929.3536156580208</v>
      </c>
      <c r="L26" s="41">
        <f>'3 statement Model'!L29</f>
        <v>-632.140191430085</v>
      </c>
      <c r="M26" s="41">
        <f>'3 statement Model'!M29</f>
        <v>1644.8999763170386</v>
      </c>
      <c r="N26" s="41">
        <f>'3 statement Model'!N29</f>
        <v>4826.2597690447728</v>
      </c>
    </row>
    <row r="27" spans="2:14" ht="15" thickBot="1" x14ac:dyDescent="0.4">
      <c r="B27" s="70" t="s">
        <v>23</v>
      </c>
      <c r="C27" s="68"/>
      <c r="D27" s="97"/>
      <c r="E27" s="96">
        <f>E22+E26</f>
        <v>83716</v>
      </c>
      <c r="F27" s="96">
        <f>F22+F26</f>
        <v>89311</v>
      </c>
      <c r="G27" s="96">
        <f>G22+G26</f>
        <v>107787</v>
      </c>
      <c r="H27" s="96">
        <f>H22+H26</f>
        <v>123627</v>
      </c>
      <c r="I27" s="96">
        <f>I22+I26</f>
        <v>165934</v>
      </c>
      <c r="J27" s="51">
        <f>'3 statement Model'!J30</f>
        <v>178493.91331000006</v>
      </c>
      <c r="K27" s="51">
        <f>'3 statement Model'!K30</f>
        <v>212563.71268434206</v>
      </c>
      <c r="L27" s="51">
        <f>'3 statement Model'!L30</f>
        <v>252066.338901938</v>
      </c>
      <c r="M27" s="51">
        <f>'3 statement Model'!M30</f>
        <v>295298.83045903116</v>
      </c>
      <c r="N27" s="51">
        <f>'3 statement Model'!N30</f>
        <v>342501.35301125085</v>
      </c>
    </row>
    <row r="28" spans="2:14" x14ac:dyDescent="0.35">
      <c r="B28" s="72" t="s">
        <v>24</v>
      </c>
      <c r="C28" s="68"/>
      <c r="D28" s="89"/>
      <c r="E28" s="90">
        <v>10978</v>
      </c>
      <c r="F28" s="90">
        <v>16950</v>
      </c>
      <c r="G28" s="90">
        <v>19651</v>
      </c>
      <c r="H28" s="90">
        <v>21795</v>
      </c>
      <c r="I28" s="278">
        <v>32185</v>
      </c>
      <c r="J28" s="306">
        <f>'3 statement Model'!J32</f>
        <v>35698.782662000012</v>
      </c>
      <c r="K28" s="306">
        <f>'3 statement Model'!K32</f>
        <v>42512.742536868413</v>
      </c>
      <c r="L28" s="306">
        <f>'3 statement Model'!L32</f>
        <v>50413.267780387599</v>
      </c>
      <c r="M28" s="306">
        <f>'3 statement Model'!M32</f>
        <v>59059.766091806232</v>
      </c>
      <c r="N28" s="306">
        <f>'3 statement Model'!N32</f>
        <v>68500.270602250166</v>
      </c>
    </row>
    <row r="29" spans="2:14" ht="15" thickBot="1" x14ac:dyDescent="0.4">
      <c r="B29" s="70" t="s">
        <v>25</v>
      </c>
      <c r="C29" s="68"/>
      <c r="D29" s="97"/>
      <c r="E29" s="96">
        <f>E27-E28</f>
        <v>72738</v>
      </c>
      <c r="F29" s="96">
        <f>F27-F28</f>
        <v>72361</v>
      </c>
      <c r="G29" s="96">
        <f>G27-G28</f>
        <v>88136</v>
      </c>
      <c r="H29" s="96">
        <f>H27-H28</f>
        <v>101832</v>
      </c>
      <c r="I29" s="96">
        <f>I27-I28</f>
        <v>133749</v>
      </c>
      <c r="J29" s="51">
        <f>'3 statement Model'!J33</f>
        <v>142795.13064800005</v>
      </c>
      <c r="K29" s="51">
        <f>'3 statement Model'!K33</f>
        <v>170050.97014747365</v>
      </c>
      <c r="L29" s="51">
        <f>'3 statement Model'!L33</f>
        <v>201653.0711215504</v>
      </c>
      <c r="M29" s="51">
        <f>'3 statement Model'!M33</f>
        <v>236239.06436722493</v>
      </c>
      <c r="N29" s="51">
        <f>'3 statement Model'!N33</f>
        <v>274001.08240900066</v>
      </c>
    </row>
    <row r="32" spans="2:14" x14ac:dyDescent="0.35">
      <c r="B32" s="54" t="s">
        <v>854</v>
      </c>
      <c r="C32" s="54"/>
      <c r="D32" s="54"/>
      <c r="E32" s="57" t="s">
        <v>3</v>
      </c>
      <c r="F32" s="58"/>
      <c r="G32" s="58"/>
      <c r="H32" s="58"/>
      <c r="I32" s="58" t="s">
        <v>1113</v>
      </c>
      <c r="J32" s="59"/>
      <c r="K32" s="59"/>
      <c r="L32" s="59"/>
      <c r="M32" s="59"/>
      <c r="N32" s="59"/>
    </row>
    <row r="33" spans="2:14" x14ac:dyDescent="0.35">
      <c r="B33" t="s">
        <v>27</v>
      </c>
      <c r="E33" s="62" t="str">
        <f>(2021+COLUMN()-COLUMN($D$5))&amp;IF(COLUMN()-COLUMN($D$5)&lt;5,"A","E")</f>
        <v>2022A</v>
      </c>
      <c r="F33" s="62" t="str">
        <f>(2021+COLUMN()-COLUMN($D$5))&amp;IF(COLUMN()-COLUMN($D$5)&lt;5,"A","E")</f>
        <v>2023A</v>
      </c>
      <c r="G33" s="62" t="str">
        <f>(2021+COLUMN()-COLUMN($D$5))&amp;IF(COLUMN()-COLUMN($D$5)&lt;5,"A","E")</f>
        <v>2024A</v>
      </c>
      <c r="H33" s="62" t="str">
        <f>(2021+COLUMN()-COLUMN($D$5))&amp;IF(COLUMN()-COLUMN($D$5)&lt;5,"A","E")</f>
        <v>2025A</v>
      </c>
      <c r="I33" s="62" t="s">
        <v>5</v>
      </c>
      <c r="J33" s="63" t="str">
        <f>(2021+COLUMN()-COLUMN($D$5))&amp;IF(COLUMN()-COLUMN($D$5)&lt;5,"A","E")</f>
        <v>2027E</v>
      </c>
      <c r="K33" s="63" t="str">
        <f>(2021+COLUMN()-COLUMN($D$5))&amp;IF(COLUMN()-COLUMN($D$5)&lt;5,"A","E")</f>
        <v>2028E</v>
      </c>
      <c r="L33" s="63" t="str">
        <f>(2021+COLUMN()-COLUMN($D$5))&amp;IF(COLUMN()-COLUMN($D$5)&lt;5,"A","E")</f>
        <v>2029E</v>
      </c>
      <c r="M33" s="63" t="str">
        <f>(2021+COLUMN()-COLUMN($D$5))&amp;IF(COLUMN()-COLUMN($D$5)&lt;5,"A","E")</f>
        <v>2030E</v>
      </c>
      <c r="N33" s="63" t="str">
        <f>(2021+COLUMN()-COLUMN($D$5))&amp;IF(COLUMN()-COLUMN($D$5)&lt;5,"A","E")</f>
        <v>2031E</v>
      </c>
    </row>
    <row r="34" spans="2:14" x14ac:dyDescent="0.35">
      <c r="B34" s="54" t="s">
        <v>28</v>
      </c>
      <c r="C34" s="54"/>
      <c r="D34" s="54"/>
      <c r="E34" s="54"/>
      <c r="F34" s="54"/>
      <c r="G34" s="54"/>
      <c r="H34" s="54"/>
      <c r="I34" s="54"/>
      <c r="J34" s="54"/>
      <c r="K34" s="54"/>
      <c r="L34" s="54"/>
      <c r="M34" s="54"/>
      <c r="N34" s="54"/>
    </row>
    <row r="35" spans="2:14" x14ac:dyDescent="0.35">
      <c r="B35" t="s">
        <v>29</v>
      </c>
      <c r="D35" s="87"/>
      <c r="E35" s="91">
        <v>63364</v>
      </c>
      <c r="F35" s="91">
        <v>94151</v>
      </c>
      <c r="G35" s="91">
        <v>106820</v>
      </c>
      <c r="H35" s="91">
        <v>120810</v>
      </c>
      <c r="I35" s="91">
        <v>139996</v>
      </c>
      <c r="J35" s="41">
        <f>'3 statement Model'!J39</f>
        <v>156795.52000000002</v>
      </c>
      <c r="K35" s="41">
        <f>'3 statement Model'!K39</f>
        <v>175610.98240000004</v>
      </c>
      <c r="L35" s="41">
        <f>'3 statement Model'!L39</f>
        <v>194928.19046400007</v>
      </c>
      <c r="M35" s="41">
        <f>'3 statement Model'!M39</f>
        <v>214421.00951040009</v>
      </c>
      <c r="N35" s="41">
        <f>'3 statement Model'!N39</f>
        <v>233718.90036633611</v>
      </c>
    </row>
    <row r="36" spans="2:14" x14ac:dyDescent="0.35">
      <c r="B36" t="s">
        <v>30</v>
      </c>
      <c r="D36" s="87"/>
      <c r="E36" s="91">
        <v>74965</v>
      </c>
      <c r="F36" s="91">
        <v>72944</v>
      </c>
      <c r="G36" s="91">
        <v>87464</v>
      </c>
      <c r="H36" s="91">
        <v>106265</v>
      </c>
      <c r="I36" s="91">
        <v>137791</v>
      </c>
      <c r="J36" s="41">
        <f>'3 statement Model'!J40</f>
        <v>181884.12</v>
      </c>
      <c r="K36" s="41">
        <f>'3 statement Model'!K40</f>
        <v>232811.67360000001</v>
      </c>
      <c r="L36" s="41">
        <f>'3 statement Model'!L40</f>
        <v>288686.47526400001</v>
      </c>
      <c r="M36" s="41">
        <f>'3 statement Model'!M40</f>
        <v>349310.63506944</v>
      </c>
      <c r="N36" s="41">
        <f>'3 statement Model'!N40</f>
        <v>412186.54938193917</v>
      </c>
    </row>
    <row r="37" spans="2:14" x14ac:dyDescent="0.35">
      <c r="B37" t="s">
        <v>31</v>
      </c>
      <c r="D37" s="87"/>
      <c r="E37" s="91">
        <v>59941</v>
      </c>
      <c r="F37" s="91">
        <v>44820</v>
      </c>
      <c r="G37" s="91">
        <v>50838</v>
      </c>
      <c r="H37" s="91">
        <v>54649</v>
      </c>
      <c r="I37" s="91">
        <v>54052</v>
      </c>
      <c r="J37" s="41">
        <f>'3 statement Model'!J41</f>
        <v>51349.399999999994</v>
      </c>
      <c r="K37" s="41">
        <f>'3 statement Model'!K41</f>
        <v>51862.893999999993</v>
      </c>
      <c r="L37" s="41">
        <f>'3 statement Model'!L41</f>
        <v>52900.15187999999</v>
      </c>
      <c r="M37" s="41">
        <f>'3 statement Model'!M41</f>
        <v>54487.156436399993</v>
      </c>
      <c r="N37" s="41">
        <f>'3 statement Model'!N41</f>
        <v>56121.771129491994</v>
      </c>
    </row>
    <row r="38" spans="2:14" ht="15" thickBot="1" x14ac:dyDescent="0.4">
      <c r="B38" s="73" t="s">
        <v>32</v>
      </c>
      <c r="C38" s="73"/>
      <c r="D38" s="102"/>
      <c r="E38" s="13">
        <f t="shared" ref="E38:I38" si="5">SUM(E35:E37)</f>
        <v>198270</v>
      </c>
      <c r="F38" s="13">
        <f>SUM(F35:F37)</f>
        <v>211915</v>
      </c>
      <c r="G38" s="13">
        <f>SUM(G35:G37)</f>
        <v>245122</v>
      </c>
      <c r="H38" s="13">
        <f>SUM(H35:H37)</f>
        <v>281724</v>
      </c>
      <c r="I38" s="13">
        <f>SUM(I35:I37)</f>
        <v>331839</v>
      </c>
      <c r="J38" s="13">
        <f>IF(COUNT(J35:J37)=0,"",SUM(J35:J37))</f>
        <v>390029.04000000004</v>
      </c>
      <c r="K38" s="13">
        <f>IF(COUNT(K35:K37)=0,"",SUM(K35:K37))</f>
        <v>460285.55000000005</v>
      </c>
      <c r="L38" s="13">
        <f>IF(COUNT(L35:L37)=0,"",SUM(L35:L37))</f>
        <v>536514.81760800013</v>
      </c>
      <c r="M38" s="13">
        <f>IF(COUNT(M35:M37)=0,"",SUM(M35:M37))</f>
        <v>618218.80101624015</v>
      </c>
      <c r="N38" s="13">
        <f>IF(COUNT(N35:N37)=0,"",SUM(N35:N37))</f>
        <v>702027.22087776731</v>
      </c>
    </row>
    <row r="39" spans="2:14" x14ac:dyDescent="0.35">
      <c r="E39" s="4"/>
      <c r="F39" s="4"/>
      <c r="G39" s="4"/>
      <c r="H39" s="4"/>
      <c r="I39" s="4"/>
      <c r="J39" s="4"/>
      <c r="K39" s="4"/>
      <c r="L39" s="4"/>
      <c r="M39" s="4"/>
      <c r="N39" s="4"/>
    </row>
    <row r="40" spans="2:14" x14ac:dyDescent="0.35">
      <c r="B40" s="54" t="s">
        <v>855</v>
      </c>
      <c r="C40" s="54"/>
      <c r="D40" s="54"/>
      <c r="E40" s="18"/>
      <c r="F40" s="18"/>
      <c r="G40" s="18"/>
      <c r="H40" s="18"/>
      <c r="I40" s="18"/>
      <c r="J40" s="18"/>
      <c r="K40" s="18"/>
      <c r="L40" s="18"/>
      <c r="M40" s="18"/>
      <c r="N40" s="18"/>
    </row>
    <row r="41" spans="2:14" x14ac:dyDescent="0.35">
      <c r="B41" t="s">
        <v>29</v>
      </c>
      <c r="D41" s="87"/>
      <c r="E41" s="91">
        <v>29690</v>
      </c>
      <c r="F41" s="91">
        <v>50074</v>
      </c>
      <c r="G41" s="91">
        <v>59661</v>
      </c>
      <c r="H41" s="91">
        <v>69773</v>
      </c>
      <c r="I41" s="91">
        <v>83879</v>
      </c>
      <c r="J41" s="41">
        <f>'3 statement Model'!J45</f>
        <v>92998.558653328131</v>
      </c>
      <c r="K41" s="41">
        <f>'3 statement Model'!K45</f>
        <v>104832.68091518017</v>
      </c>
      <c r="L41" s="41">
        <f>'3 statement Model'!L45</f>
        <v>117942.27100238917</v>
      </c>
      <c r="M41" s="41">
        <f>'3 statement Model'!M45</f>
        <v>131266.02233797425</v>
      </c>
      <c r="N41" s="41">
        <f>'3 statement Model'!N45</f>
        <v>145317.7717834833</v>
      </c>
    </row>
    <row r="42" spans="2:14" x14ac:dyDescent="0.35">
      <c r="B42" t="s">
        <v>30</v>
      </c>
      <c r="D42" s="87"/>
      <c r="E42" s="91">
        <v>33203</v>
      </c>
      <c r="F42" s="91">
        <v>28411</v>
      </c>
      <c r="G42" s="91">
        <v>37813</v>
      </c>
      <c r="H42" s="91">
        <v>44589</v>
      </c>
      <c r="I42" s="91">
        <v>56972</v>
      </c>
      <c r="J42" s="41">
        <f>'3 statement Model'!J46</f>
        <v>74445.825091038671</v>
      </c>
      <c r="K42" s="41">
        <f>'3 statement Model'!K46</f>
        <v>95907.543886365092</v>
      </c>
      <c r="L42" s="41">
        <f>'3 statement Model'!L46</f>
        <v>120538.07993570896</v>
      </c>
      <c r="M42" s="41">
        <f>'3 statement Model'!M46</f>
        <v>147570.58325938505</v>
      </c>
      <c r="N42" s="41">
        <f>'3 statement Model'!N46</f>
        <v>176856.77765221603</v>
      </c>
    </row>
    <row r="43" spans="2:14" x14ac:dyDescent="0.35">
      <c r="B43" t="s">
        <v>31</v>
      </c>
      <c r="D43" s="87"/>
      <c r="E43" s="91">
        <v>20490</v>
      </c>
      <c r="F43" s="91">
        <v>10038</v>
      </c>
      <c r="G43" s="91">
        <v>11959</v>
      </c>
      <c r="H43" s="91">
        <v>14166</v>
      </c>
      <c r="I43" s="91">
        <v>14386</v>
      </c>
      <c r="J43" s="41">
        <f>'3 statement Model'!J47</f>
        <v>13529.090815633226</v>
      </c>
      <c r="K43" s="41">
        <f>'3 statement Model'!K47</f>
        <v>13752.841498454794</v>
      </c>
      <c r="L43" s="41">
        <f>'3 statement Model'!L47</f>
        <v>14218.128155269924</v>
      </c>
      <c r="M43" s="41">
        <f>'3 statement Model'!M47</f>
        <v>14817.32488535481</v>
      </c>
      <c r="N43" s="41">
        <f>'3 statement Model'!N47</f>
        <v>15500.543806506726</v>
      </c>
    </row>
    <row r="44" spans="2:14" ht="15" thickBot="1" x14ac:dyDescent="0.4">
      <c r="B44" s="73" t="s">
        <v>34</v>
      </c>
      <c r="C44" s="73"/>
      <c r="D44" s="102"/>
      <c r="E44" s="13">
        <f t="shared" ref="E44:I44" si="6">SUM(E41:E43)</f>
        <v>83383</v>
      </c>
      <c r="F44" s="13">
        <f>SUM(F41:F43)</f>
        <v>88523</v>
      </c>
      <c r="G44" s="13">
        <f>SUM(G41:G43)</f>
        <v>109433</v>
      </c>
      <c r="H44" s="13">
        <f>SUM(H41:H43)</f>
        <v>128528</v>
      </c>
      <c r="I44" s="13">
        <f>SUM(I41:I43)</f>
        <v>155237</v>
      </c>
      <c r="J44" s="13">
        <f>IF(COUNT(J41:J43)=0,"",SUM(J41:J43))</f>
        <v>180973.47456000003</v>
      </c>
      <c r="K44" s="13">
        <f>IF(COUNT(K41:K43)=0,"",SUM(K41:K43))</f>
        <v>214493.06630000006</v>
      </c>
      <c r="L44" s="13">
        <f>IF(COUNT(L41:L43)=0,"",SUM(L41:L43))</f>
        <v>252698.47909336805</v>
      </c>
      <c r="M44" s="13">
        <f>IF(COUNT(M41:M43)=0,"",SUM(M41:M43))</f>
        <v>293653.93048271409</v>
      </c>
      <c r="N44" s="13">
        <f>IF(COUNT(N41:N43)=0,"",SUM(N41:N43))</f>
        <v>337675.09324220609</v>
      </c>
    </row>
    <row r="45" spans="2:14" x14ac:dyDescent="0.35">
      <c r="E45" s="4"/>
      <c r="F45" s="4"/>
      <c r="G45" s="4"/>
      <c r="H45" s="4"/>
      <c r="I45" s="4"/>
      <c r="J45" s="4"/>
      <c r="K45" s="4"/>
      <c r="L45" s="4"/>
      <c r="M45" s="4"/>
      <c r="N45" s="4"/>
    </row>
    <row r="46" spans="2:14" x14ac:dyDescent="0.35">
      <c r="B46" s="74" t="s">
        <v>35</v>
      </c>
      <c r="C46" s="74"/>
      <c r="D46" s="74"/>
      <c r="E46" s="16"/>
      <c r="F46" s="16"/>
      <c r="G46" s="16"/>
      <c r="H46" s="16"/>
      <c r="I46" s="16"/>
      <c r="J46" s="16"/>
      <c r="K46" s="16"/>
      <c r="L46" s="16"/>
      <c r="M46" s="16"/>
      <c r="N46" s="16"/>
    </row>
    <row r="47" spans="2:14" x14ac:dyDescent="0.35">
      <c r="B47" t="s">
        <v>36</v>
      </c>
      <c r="E47" s="14"/>
      <c r="F47" s="14"/>
      <c r="G47" s="14"/>
      <c r="H47" s="14" t="s">
        <v>37</v>
      </c>
      <c r="I47" s="4"/>
      <c r="J47" s="4"/>
      <c r="K47" s="4"/>
      <c r="L47" s="4"/>
      <c r="M47" s="4"/>
      <c r="N47" s="4"/>
    </row>
    <row r="48" spans="2:14" x14ac:dyDescent="0.35">
      <c r="B48" t="s">
        <v>38</v>
      </c>
      <c r="E48" s="92"/>
      <c r="F48" s="92">
        <v>0.28999999999999998</v>
      </c>
      <c r="G48" s="92">
        <v>0.3</v>
      </c>
      <c r="H48" s="15"/>
      <c r="I48" s="15"/>
      <c r="J48" s="15"/>
      <c r="K48" s="15"/>
      <c r="L48" s="15"/>
      <c r="M48" s="15"/>
      <c r="N48" s="15"/>
    </row>
    <row r="49" spans="2:14" x14ac:dyDescent="0.35">
      <c r="B49" s="75" t="s">
        <v>39</v>
      </c>
      <c r="C49" s="75"/>
      <c r="D49" s="75"/>
      <c r="E49" s="17"/>
      <c r="F49" s="17"/>
      <c r="G49" s="93"/>
      <c r="H49" s="93">
        <v>0.34</v>
      </c>
      <c r="I49" s="17"/>
      <c r="J49" s="17"/>
      <c r="K49" s="17"/>
      <c r="L49" s="17"/>
      <c r="M49" s="17"/>
      <c r="N49" s="17"/>
    </row>
    <row r="50" spans="2:14" ht="53.5" x14ac:dyDescent="0.35">
      <c r="B50" s="75" t="s">
        <v>856</v>
      </c>
    </row>
    <row r="51" spans="2:14" x14ac:dyDescent="0.35">
      <c r="B51" s="75"/>
      <c r="C51" s="75"/>
      <c r="D51" s="75"/>
      <c r="E51" s="75"/>
      <c r="F51" s="75"/>
      <c r="G51" s="75"/>
      <c r="H51" s="75"/>
      <c r="I51" s="75"/>
      <c r="J51" s="75"/>
      <c r="K51" s="75"/>
      <c r="L51" s="75"/>
      <c r="M51" s="75"/>
      <c r="N51" s="75"/>
    </row>
    <row r="52" spans="2:14" x14ac:dyDescent="0.35">
      <c r="B52" s="56" t="s">
        <v>40</v>
      </c>
      <c r="E52" s="57" t="s">
        <v>3</v>
      </c>
      <c r="F52" s="58"/>
      <c r="G52" s="58"/>
      <c r="H52" s="58"/>
      <c r="I52" s="58" t="s">
        <v>1113</v>
      </c>
      <c r="J52" s="59"/>
      <c r="K52" s="59"/>
      <c r="L52" s="59"/>
      <c r="M52" s="59"/>
      <c r="N52" s="59"/>
    </row>
    <row r="53" spans="2:14" x14ac:dyDescent="0.35">
      <c r="B53" s="76" t="s">
        <v>41</v>
      </c>
      <c r="E53" s="62" t="str">
        <f>(2021+COLUMN()-COLUMN($D$5))&amp;IF(COLUMN()-COLUMN($D$5)&lt;5,"A","E")</f>
        <v>2022A</v>
      </c>
      <c r="F53" s="62" t="str">
        <f>(2021+COLUMN()-COLUMN($D$5))&amp;IF(COLUMN()-COLUMN($D$5)&lt;5,"A","E")</f>
        <v>2023A</v>
      </c>
      <c r="G53" s="62" t="str">
        <f>(2021+COLUMN()-COLUMN($D$5))&amp;IF(COLUMN()-COLUMN($D$5)&lt;5,"A","E")</f>
        <v>2024A</v>
      </c>
      <c r="H53" s="62" t="str">
        <f>(2021+COLUMN()-COLUMN($D$5))&amp;IF(COLUMN()-COLUMN($D$5)&lt;5,"A","E")</f>
        <v>2025A</v>
      </c>
      <c r="I53" s="77" t="s">
        <v>5</v>
      </c>
      <c r="J53" s="63" t="str">
        <f>(2021+COLUMN()-COLUMN($D$5))&amp;IF(COLUMN()-COLUMN($D$5)&lt;5,"A","E")</f>
        <v>2027E</v>
      </c>
      <c r="K53" s="63" t="str">
        <f>(2021+COLUMN()-COLUMN($D$5))&amp;IF(COLUMN()-COLUMN($D$5)&lt;5,"A","E")</f>
        <v>2028E</v>
      </c>
      <c r="L53" s="63" t="str">
        <f>(2021+COLUMN()-COLUMN($D$5))&amp;IF(COLUMN()-COLUMN($D$5)&lt;5,"A","E")</f>
        <v>2029E</v>
      </c>
      <c r="M53" s="63" t="str">
        <f>(2021+COLUMN()-COLUMN($D$5))&amp;IF(COLUMN()-COLUMN($D$5)&lt;5,"A","E")</f>
        <v>2030E</v>
      </c>
      <c r="N53" s="63" t="str">
        <f>(2021+COLUMN()-COLUMN($D$5))&amp;IF(COLUMN()-COLUMN($D$5)&lt;5,"A","E")</f>
        <v>2031E</v>
      </c>
    </row>
    <row r="54" spans="2:14" x14ac:dyDescent="0.35">
      <c r="B54" s="65" t="s">
        <v>42</v>
      </c>
    </row>
    <row r="55" spans="2:14" x14ac:dyDescent="0.35">
      <c r="B55" t="s">
        <v>25</v>
      </c>
      <c r="D55" s="87"/>
      <c r="E55" s="88">
        <v>72738</v>
      </c>
      <c r="F55" s="88">
        <v>72361</v>
      </c>
      <c r="G55" s="88">
        <v>88136</v>
      </c>
      <c r="H55" s="88">
        <v>101832</v>
      </c>
      <c r="I55" s="204">
        <v>133749</v>
      </c>
      <c r="J55" s="41">
        <f>'3 statement Model'!J54</f>
        <v>142795.13064800005</v>
      </c>
      <c r="K55" s="41">
        <f>'3 statement Model'!K54</f>
        <v>170050.97014747365</v>
      </c>
      <c r="L55" s="41">
        <f>'3 statement Model'!L54</f>
        <v>201653.0711215504</v>
      </c>
      <c r="M55" s="41">
        <f>'3 statement Model'!M54</f>
        <v>236239.06436722493</v>
      </c>
      <c r="N55" s="41">
        <f>'3 statement Model'!N54</f>
        <v>274001.08240900066</v>
      </c>
    </row>
    <row r="56" spans="2:14" x14ac:dyDescent="0.35">
      <c r="B56" s="54" t="s">
        <v>43</v>
      </c>
      <c r="E56" s="2"/>
      <c r="F56" s="2"/>
      <c r="G56" s="2"/>
      <c r="H56" s="2"/>
      <c r="I56" s="2"/>
    </row>
    <row r="57" spans="2:14" x14ac:dyDescent="0.35">
      <c r="B57" s="1" t="s">
        <v>44</v>
      </c>
      <c r="D57" s="87"/>
      <c r="E57" s="88">
        <v>14460</v>
      </c>
      <c r="F57" s="88">
        <v>13861</v>
      </c>
      <c r="G57" s="88">
        <v>20958</v>
      </c>
      <c r="H57" s="88">
        <v>29433</v>
      </c>
      <c r="I57" s="204">
        <v>38534</v>
      </c>
      <c r="J57" s="41">
        <f>'3 statement Model'!J56</f>
        <v>53706.880000000005</v>
      </c>
      <c r="K57" s="41">
        <f>'3 statement Model'!K56</f>
        <v>67337.145600000003</v>
      </c>
      <c r="L57" s="41">
        <f>'3 statement Model'!L56</f>
        <v>81738.256672000003</v>
      </c>
      <c r="M57" s="41">
        <f>'3 statement Model'!M56</f>
        <v>95910.173304640004</v>
      </c>
      <c r="N57" s="41">
        <f>'3 statement Model'!N56</f>
        <v>110596.9007750368</v>
      </c>
    </row>
    <row r="58" spans="2:14" x14ac:dyDescent="0.35">
      <c r="B58" s="1" t="s">
        <v>45</v>
      </c>
      <c r="D58" s="87"/>
      <c r="E58" s="88">
        <v>7502</v>
      </c>
      <c r="F58" s="88">
        <v>9611</v>
      </c>
      <c r="G58" s="88">
        <v>10734</v>
      </c>
      <c r="H58" s="88">
        <v>11974</v>
      </c>
      <c r="I58" s="204">
        <v>12405</v>
      </c>
      <c r="J58" s="41">
        <f>'3 statement Model'!J57</f>
        <v>14431.074480000001</v>
      </c>
      <c r="K58" s="41">
        <f>'3 statement Model'!K57</f>
        <v>16570.2798</v>
      </c>
      <c r="L58" s="41">
        <f>'3 statement Model'!L57</f>
        <v>18778.018616280006</v>
      </c>
      <c r="M58" s="41">
        <f>'3 statement Model'!M57</f>
        <v>21019.439234552166</v>
      </c>
      <c r="N58" s="41">
        <f>'3 statement Model'!N57</f>
        <v>23166.898288966324</v>
      </c>
    </row>
    <row r="59" spans="2:14" x14ac:dyDescent="0.35">
      <c r="B59" s="1" t="s">
        <v>46</v>
      </c>
      <c r="D59" s="87"/>
      <c r="E59" s="88">
        <v>-409</v>
      </c>
      <c r="F59" s="88">
        <v>196</v>
      </c>
      <c r="G59" s="88">
        <v>1634</v>
      </c>
      <c r="H59" s="88">
        <v>5329</v>
      </c>
      <c r="I59" s="204">
        <v>-11047</v>
      </c>
      <c r="J59" s="41">
        <f>'3 statement Model'!J58</f>
        <v>0</v>
      </c>
      <c r="K59" s="41">
        <f>'3 statement Model'!K58</f>
        <v>0</v>
      </c>
      <c r="L59" s="41">
        <f>'3 statement Model'!L58</f>
        <v>0</v>
      </c>
      <c r="M59" s="41">
        <f>'3 statement Model'!M58</f>
        <v>0</v>
      </c>
      <c r="N59" s="41">
        <f>'3 statement Model'!N58</f>
        <v>0</v>
      </c>
    </row>
    <row r="60" spans="2:14" x14ac:dyDescent="0.35">
      <c r="B60" s="1" t="s">
        <v>47</v>
      </c>
      <c r="D60" s="87"/>
      <c r="E60" s="88">
        <v>-5702</v>
      </c>
      <c r="F60" s="88">
        <v>-6059</v>
      </c>
      <c r="G60" s="88">
        <v>-4738</v>
      </c>
      <c r="H60" s="88">
        <v>-7056</v>
      </c>
      <c r="I60" s="204">
        <v>14189</v>
      </c>
      <c r="J60" s="41">
        <f>'3 statement Model'!J59</f>
        <v>0</v>
      </c>
      <c r="K60" s="41">
        <f>'3 statement Model'!K59</f>
        <v>0</v>
      </c>
      <c r="L60" s="41">
        <f>'3 statement Model'!L59</f>
        <v>0</v>
      </c>
      <c r="M60" s="41">
        <f>'3 statement Model'!M59</f>
        <v>0</v>
      </c>
      <c r="N60" s="41">
        <f>'3 statement Model'!N59</f>
        <v>0</v>
      </c>
    </row>
    <row r="61" spans="2:14" x14ac:dyDescent="0.35">
      <c r="B61" s="201" t="s">
        <v>48</v>
      </c>
      <c r="C61" s="54"/>
      <c r="D61" s="103"/>
      <c r="E61" s="6">
        <f t="shared" ref="E61:N61" si="7">SUM(E59:E60)</f>
        <v>-6111</v>
      </c>
      <c r="F61" s="6">
        <f t="shared" si="7"/>
        <v>-5863</v>
      </c>
      <c r="G61" s="6">
        <f t="shared" si="7"/>
        <v>-3104</v>
      </c>
      <c r="H61" s="6">
        <f t="shared" si="7"/>
        <v>-1727</v>
      </c>
      <c r="I61" s="6">
        <f t="shared" si="7"/>
        <v>3142</v>
      </c>
      <c r="J61" s="7">
        <f t="shared" si="7"/>
        <v>0</v>
      </c>
      <c r="K61" s="7">
        <f t="shared" si="7"/>
        <v>0</v>
      </c>
      <c r="L61" s="7">
        <f t="shared" si="7"/>
        <v>0</v>
      </c>
      <c r="M61" s="7">
        <f t="shared" si="7"/>
        <v>0</v>
      </c>
      <c r="N61" s="7">
        <f t="shared" si="7"/>
        <v>0</v>
      </c>
    </row>
    <row r="62" spans="2:14" x14ac:dyDescent="0.35">
      <c r="B62" s="55" t="s">
        <v>49</v>
      </c>
      <c r="E62" s="2"/>
      <c r="F62" s="2"/>
      <c r="G62" s="2"/>
      <c r="H62" s="2"/>
      <c r="I62" s="2"/>
    </row>
    <row r="63" spans="2:14" x14ac:dyDescent="0.35">
      <c r="B63" s="1" t="s">
        <v>50</v>
      </c>
      <c r="D63" s="87"/>
      <c r="E63" s="88">
        <v>-6834</v>
      </c>
      <c r="F63" s="88">
        <v>-4087</v>
      </c>
      <c r="G63" s="88">
        <v>-7191</v>
      </c>
      <c r="H63" s="88">
        <v>-10581</v>
      </c>
      <c r="I63" s="204">
        <v>-12737</v>
      </c>
      <c r="J63" s="41">
        <f>'3 statement Model'!J61</f>
        <v>-14226.971397260277</v>
      </c>
      <c r="K63" s="41">
        <f>'3 statement Model'!K61</f>
        <v>-17131.039424657545</v>
      </c>
      <c r="L63" s="41">
        <f>'3 statement Model'!L61</f>
        <v>-17117.506847956174</v>
      </c>
      <c r="M63" s="41">
        <f>'3 statement Model'!M61</f>
        <v>-19698.494629931854</v>
      </c>
      <c r="N63" s="41">
        <f>'3 statement Model'!N61</f>
        <v>-18282.503361470182</v>
      </c>
    </row>
    <row r="64" spans="2:14" x14ac:dyDescent="0.35">
      <c r="B64" s="1" t="s">
        <v>51</v>
      </c>
      <c r="D64" s="87"/>
      <c r="E64" s="88">
        <v>-1123</v>
      </c>
      <c r="F64" s="88">
        <v>1242</v>
      </c>
      <c r="G64" s="88">
        <v>1284</v>
      </c>
      <c r="H64" s="88">
        <v>309</v>
      </c>
      <c r="I64" s="204">
        <v>-461</v>
      </c>
      <c r="J64" s="41">
        <f>'3 statement Model'!J62</f>
        <v>-440.94506520547952</v>
      </c>
      <c r="K64" s="41">
        <f>'3 statement Model'!K62</f>
        <v>-331.07177315068452</v>
      </c>
      <c r="L64" s="41">
        <f>'3 statement Model'!L62</f>
        <v>-344.51833454706957</v>
      </c>
      <c r="M64" s="41">
        <f>'3 statement Model'!M62</f>
        <v>-365.8400647066519</v>
      </c>
      <c r="N64" s="41">
        <f>'3 statement Model'!N62</f>
        <v>-371.10696316662597</v>
      </c>
    </row>
    <row r="65" spans="2:14" x14ac:dyDescent="0.35">
      <c r="B65" s="1" t="s">
        <v>52</v>
      </c>
      <c r="D65" s="87"/>
      <c r="E65" s="88">
        <v>-709</v>
      </c>
      <c r="F65" s="88">
        <v>-1991</v>
      </c>
      <c r="G65" s="88">
        <v>-1648</v>
      </c>
      <c r="H65" s="88">
        <v>-3044</v>
      </c>
      <c r="I65" s="204">
        <v>-2627</v>
      </c>
    </row>
    <row r="66" spans="2:14" x14ac:dyDescent="0.35">
      <c r="B66" s="1" t="s">
        <v>53</v>
      </c>
      <c r="D66" s="87"/>
      <c r="E66" s="88">
        <v>-2805</v>
      </c>
      <c r="F66" s="88">
        <v>-2833</v>
      </c>
      <c r="G66" s="88">
        <v>-6817</v>
      </c>
      <c r="H66" s="88">
        <v>-2950</v>
      </c>
      <c r="I66" s="204">
        <v>-3964</v>
      </c>
    </row>
    <row r="67" spans="2:14" x14ac:dyDescent="0.35">
      <c r="B67" s="78" t="s">
        <v>857</v>
      </c>
      <c r="D67" s="87"/>
      <c r="E67" s="88">
        <v>-3514</v>
      </c>
      <c r="F67" s="88">
        <v>-4824</v>
      </c>
      <c r="G67" s="88">
        <v>-8465</v>
      </c>
      <c r="H67" s="88">
        <v>-5994</v>
      </c>
      <c r="I67" s="88">
        <v>-6591</v>
      </c>
      <c r="J67" s="41">
        <f>'3 statement Model'!J63</f>
        <v>678.79285714285834</v>
      </c>
      <c r="K67" s="41">
        <f>'3 statement Model'!K63</f>
        <v>830.49702026239174</v>
      </c>
      <c r="L67" s="41">
        <f>'3 statement Model'!L63</f>
        <v>945.20652079012689</v>
      </c>
      <c r="M67" s="41">
        <f>'3 statement Model'!M63</f>
        <v>1032.1944199778518</v>
      </c>
      <c r="N67" s="41">
        <f>'3 statement Model'!N63</f>
        <v>1098.4102165427175</v>
      </c>
    </row>
    <row r="68" spans="2:14" x14ac:dyDescent="0.35">
      <c r="B68" s="1" t="s">
        <v>55</v>
      </c>
      <c r="D68" s="87"/>
      <c r="E68" s="88">
        <v>2943</v>
      </c>
      <c r="F68" s="88">
        <v>-2721</v>
      </c>
      <c r="G68" s="88">
        <v>3545</v>
      </c>
      <c r="H68" s="88">
        <v>569</v>
      </c>
      <c r="I68" s="88">
        <v>5268</v>
      </c>
      <c r="J68" s="41">
        <f>'3 statement Model'!J64</f>
        <v>9046.4618257534239</v>
      </c>
      <c r="K68" s="41">
        <f>'3 statement Model'!K64</f>
        <v>7100.9928098630189</v>
      </c>
      <c r="L68" s="41">
        <f>'3 statement Model'!L64</f>
        <v>6788.4598598676166</v>
      </c>
      <c r="M68" s="41">
        <f>'3 statement Model'!M64</f>
        <v>6632.4664447630785</v>
      </c>
      <c r="N68" s="41">
        <f>'3 statement Model'!N64</f>
        <v>6027.1918783891306</v>
      </c>
    </row>
    <row r="69" spans="2:14" x14ac:dyDescent="0.35">
      <c r="B69" s="1" t="s">
        <v>56</v>
      </c>
      <c r="D69" s="87"/>
      <c r="E69" s="88">
        <v>5109</v>
      </c>
      <c r="F69" s="88">
        <v>5535</v>
      </c>
      <c r="G69" s="88">
        <v>5348</v>
      </c>
      <c r="H69" s="88">
        <v>5438</v>
      </c>
      <c r="I69" s="88">
        <v>9361</v>
      </c>
      <c r="J69" s="41">
        <f>'3 statement Model'!J65</f>
        <v>10094.388800000015</v>
      </c>
      <c r="K69" s="41">
        <f>'3 statement Model'!K65</f>
        <v>15456.432199999996</v>
      </c>
      <c r="L69" s="41">
        <f>'3 statement Model'!L65</f>
        <v>16770.438873760024</v>
      </c>
      <c r="M69" s="41">
        <f>'3 statement Model'!M65</f>
        <v>17974.876349812796</v>
      </c>
      <c r="N69" s="41">
        <f>'3 statement Model'!N65</f>
        <v>18437.852369535976</v>
      </c>
    </row>
    <row r="70" spans="2:14" x14ac:dyDescent="0.35">
      <c r="B70" s="1" t="s">
        <v>57</v>
      </c>
      <c r="D70" s="87"/>
      <c r="E70" s="88">
        <v>696</v>
      </c>
      <c r="F70" s="88">
        <v>-358</v>
      </c>
      <c r="G70" s="88">
        <v>1687</v>
      </c>
      <c r="H70" s="88">
        <v>-38</v>
      </c>
      <c r="I70" s="88">
        <v>-1875</v>
      </c>
      <c r="J70" s="41">
        <f>'3 statement Model'!J66</f>
        <v>444.3527173117086</v>
      </c>
      <c r="K70" s="41">
        <f>'3 statement Model'!K66</f>
        <v>536.49509653777932</v>
      </c>
      <c r="L70" s="41">
        <f>'3 statement Model'!L66</f>
        <v>582.1044666801431</v>
      </c>
      <c r="M70" s="41">
        <f>'3 statement Model'!M66</f>
        <v>623.91067341837606</v>
      </c>
      <c r="N70" s="41">
        <f>'3 statement Model'!N66</f>
        <v>639.98064100093598</v>
      </c>
    </row>
    <row r="71" spans="2:14" x14ac:dyDescent="0.35">
      <c r="B71" s="1" t="s">
        <v>58</v>
      </c>
      <c r="D71" s="87"/>
      <c r="E71" s="88">
        <v>2344</v>
      </c>
      <c r="F71" s="88">
        <v>2272</v>
      </c>
      <c r="G71" s="88">
        <v>4867</v>
      </c>
      <c r="H71" s="88">
        <v>5922</v>
      </c>
      <c r="I71" s="88">
        <v>6847</v>
      </c>
    </row>
    <row r="72" spans="2:14" x14ac:dyDescent="0.35">
      <c r="B72" s="1" t="s">
        <v>59</v>
      </c>
      <c r="D72" s="87"/>
      <c r="E72" s="88">
        <v>825</v>
      </c>
      <c r="F72" s="88">
        <v>553</v>
      </c>
      <c r="G72" s="88">
        <v>749</v>
      </c>
      <c r="H72" s="88">
        <v>-975</v>
      </c>
      <c r="I72" s="88">
        <v>-4707</v>
      </c>
    </row>
    <row r="73" spans="2:14" x14ac:dyDescent="0.35">
      <c r="B73" s="1" t="s">
        <v>858</v>
      </c>
      <c r="D73" s="87"/>
      <c r="E73" s="88">
        <v>3169</v>
      </c>
      <c r="F73" s="88">
        <v>2825</v>
      </c>
      <c r="G73" s="88">
        <v>5616</v>
      </c>
      <c r="H73" s="88">
        <v>4947</v>
      </c>
      <c r="I73" s="88">
        <v>2140</v>
      </c>
      <c r="J73" s="41">
        <f>'3 statement Model'!J67</f>
        <v>5611.3997450570932</v>
      </c>
      <c r="K73" s="41">
        <f>'3 statement Model'!K67</f>
        <v>6774.9972727738459</v>
      </c>
      <c r="L73" s="41">
        <f>'3 statement Model'!L67</f>
        <v>7350.9640622591178</v>
      </c>
      <c r="M73" s="41">
        <f>'3 statement Model'!M67</f>
        <v>7878.9035317237576</v>
      </c>
      <c r="N73" s="41">
        <f>'3 statement Model'!N67</f>
        <v>8081.8391918034613</v>
      </c>
    </row>
    <row r="74" spans="2:14" x14ac:dyDescent="0.35">
      <c r="B74" s="79" t="s">
        <v>61</v>
      </c>
      <c r="C74" s="79"/>
      <c r="D74" s="104"/>
      <c r="E74" s="8">
        <f>IF(COUNT(E55,E57:E60,E63:E64,E67:E70,E73)=0,"",SUM(E55,E57:E60,E63:E64,E67,E68:E70,E73))</f>
        <v>89035</v>
      </c>
      <c r="F74" s="8">
        <f>IF(COUNT(F55,F57:F60,F63:F64,F67:F70,F73)=0,"",SUM(F55,F57:F60,F63:F64,F67,F68:F70,F73))</f>
        <v>87582</v>
      </c>
      <c r="G74" s="8">
        <f>IF(COUNT(G55,G57:G60,G63:G64,G67:G70,G73)=0,"",SUM(G55,G57:G60,G63:G64,G67,G68:G70,G73))</f>
        <v>118548</v>
      </c>
      <c r="H74" s="8">
        <f>IF(COUNT(H55,H57:H60,H63:H64,H67:H70,H73)=0,"",SUM(H55,H57:H60,H63:H64,H67,H68:H70,H73))</f>
        <v>136162</v>
      </c>
      <c r="I74" s="8">
        <f>IF(COUNT(I55,I57:I60,I63:I64,I67:I70,I73)=0,"",SUM(I55,I57:I60,I63:I64,I67,I68:I70,I73))</f>
        <v>182935</v>
      </c>
      <c r="J74" s="10">
        <f>IF(COUNT(J55,J57:J60,J63:J64,J67:J70,J73)=0,"",SUM(J55,J57:J60,J63:J64,J67:J70,J73))</f>
        <v>222140.56461079943</v>
      </c>
      <c r="K74" s="10">
        <f>IF(COUNT(K55,K57:K60,K63:K64,K67:K70,K73)=0,"",SUM(K55,K57:K60,K63:K64,K67:K70,K73))</f>
        <v>267195.69874910242</v>
      </c>
      <c r="L74" s="10">
        <f>IF(COUNT(L55,L57:L60,L63:L64,L67:L70,L73)=0,"",SUM(L55,L57:L60,L63:L64,L67:L70,L73))</f>
        <v>317144.49501068424</v>
      </c>
      <c r="M74" s="10">
        <f>IF(COUNT(M55,M57:M60,M63:M64,M67:M70,M73)=0,"",SUM(M55,M57:M60,M63:M64,M67:M70,M73))</f>
        <v>367246.69363147439</v>
      </c>
      <c r="N74" s="10">
        <f>IF(COUNT(N55,N57:N60,N63:N64,N67:N70,N73)=0,"",SUM(N55,N57:N60,N63:N64,N67:N70,N73))</f>
        <v>423396.54544563923</v>
      </c>
    </row>
    <row r="75" spans="2:14" x14ac:dyDescent="0.35">
      <c r="B75" s="65" t="s">
        <v>62</v>
      </c>
      <c r="E75" s="2"/>
      <c r="F75" s="2"/>
      <c r="G75" s="3"/>
      <c r="H75" s="3"/>
      <c r="I75" s="2"/>
    </row>
    <row r="76" spans="2:14" x14ac:dyDescent="0.35">
      <c r="B76" s="78" t="s">
        <v>63</v>
      </c>
      <c r="D76" s="87"/>
      <c r="E76" s="88">
        <v>-9023</v>
      </c>
      <c r="F76" s="88">
        <v>-2750</v>
      </c>
      <c r="G76" s="88">
        <v>575</v>
      </c>
      <c r="H76" s="88">
        <v>-8962</v>
      </c>
      <c r="I76" s="88">
        <v>-3000</v>
      </c>
      <c r="J76" s="41">
        <f>'3 statement Model'!J70</f>
        <v>-2200</v>
      </c>
      <c r="K76" s="41">
        <f>'3 statement Model'!K70</f>
        <v>-3000</v>
      </c>
      <c r="L76" s="41">
        <f>'3 statement Model'!L70</f>
        <v>-1300</v>
      </c>
      <c r="M76" s="41">
        <f>'3 statement Model'!M70</f>
        <v>-2300</v>
      </c>
      <c r="N76" s="41">
        <f>'3 statement Model'!N70</f>
        <v>-2000</v>
      </c>
    </row>
    <row r="77" spans="2:14" x14ac:dyDescent="0.35">
      <c r="B77" s="78" t="s">
        <v>64</v>
      </c>
      <c r="D77" s="87"/>
      <c r="E77" s="88">
        <v>-30855</v>
      </c>
      <c r="F77" s="88">
        <v>-20379</v>
      </c>
      <c r="G77" s="88">
        <v>-15252</v>
      </c>
      <c r="H77" s="88">
        <v>-16364</v>
      </c>
      <c r="I77" s="88">
        <v>-20262</v>
      </c>
      <c r="J77" s="41">
        <f>'3 statement Model'!J71</f>
        <v>-22000</v>
      </c>
      <c r="K77" s="41">
        <f>'3 statement Model'!K71</f>
        <v>-24000</v>
      </c>
      <c r="L77" s="41">
        <f>'3 statement Model'!L71</f>
        <v>-26000</v>
      </c>
      <c r="M77" s="41">
        <f>'3 statement Model'!M71</f>
        <v>-28000</v>
      </c>
      <c r="N77" s="41">
        <f>'3 statement Model'!N71</f>
        <v>-30000</v>
      </c>
    </row>
    <row r="78" spans="2:14" x14ac:dyDescent="0.35">
      <c r="B78" s="1" t="s">
        <v>65</v>
      </c>
      <c r="D78" s="87"/>
      <c r="E78" s="88">
        <v>-18135</v>
      </c>
      <c r="F78" s="88">
        <v>-19800</v>
      </c>
      <c r="G78" s="88">
        <v>-21771</v>
      </c>
      <c r="H78" s="88">
        <v>-24082</v>
      </c>
      <c r="I78" s="204">
        <v>-26445</v>
      </c>
      <c r="J78" s="41">
        <f>'3 statement Model'!J72</f>
        <v>-28559.02612960001</v>
      </c>
      <c r="K78" s="41">
        <f>'3 statement Model'!K72</f>
        <v>-34010.194029494734</v>
      </c>
      <c r="L78" s="41">
        <f>'3 statement Model'!L72</f>
        <v>-40330.614224310084</v>
      </c>
      <c r="M78" s="41">
        <f>'3 statement Model'!M72</f>
        <v>-47247.812873444986</v>
      </c>
      <c r="N78" s="41">
        <f>'3 statement Model'!N72</f>
        <v>-54800.216481800133</v>
      </c>
    </row>
    <row r="79" spans="2:14" x14ac:dyDescent="0.35">
      <c r="B79" s="1" t="s">
        <v>66</v>
      </c>
      <c r="D79" s="87"/>
      <c r="E79" s="88">
        <v>-863</v>
      </c>
      <c r="F79" s="88">
        <v>-1006</v>
      </c>
      <c r="G79" s="88">
        <v>-1309</v>
      </c>
      <c r="H79" s="88">
        <v>-2291</v>
      </c>
      <c r="I79" s="204">
        <v>-2839</v>
      </c>
      <c r="J79" s="41">
        <f>'3 statement Model'!J73</f>
        <v>-5549.5</v>
      </c>
      <c r="K79" s="41">
        <f>'3 statement Model'!K73</f>
        <v>-6337.041666666667</v>
      </c>
      <c r="L79" s="41">
        <f>'3 statement Model'!L73</f>
        <v>-7058.9548611111104</v>
      </c>
      <c r="M79" s="41">
        <f>'3 statement Model'!M73</f>
        <v>-7720.7086226851852</v>
      </c>
      <c r="N79" s="41">
        <f>'3 statement Model'!N73</f>
        <v>-8327.3162374614203</v>
      </c>
    </row>
    <row r="80" spans="2:14" x14ac:dyDescent="0.35">
      <c r="B80" s="79" t="s">
        <v>67</v>
      </c>
      <c r="C80" s="79"/>
      <c r="D80" s="104"/>
      <c r="E80" s="8">
        <f t="shared" ref="E80:I80" si="8">IF(COUNT(E76:E79)=0,"",SUM(E76:E79))</f>
        <v>-58876</v>
      </c>
      <c r="F80" s="8">
        <f t="shared" si="8"/>
        <v>-43935</v>
      </c>
      <c r="G80" s="8">
        <f t="shared" si="8"/>
        <v>-37757</v>
      </c>
      <c r="H80" s="8">
        <f t="shared" si="8"/>
        <v>-51699</v>
      </c>
      <c r="I80" s="9">
        <f t="shared" si="8"/>
        <v>-52546</v>
      </c>
      <c r="J80" s="10">
        <f>IF(COUNT(J76:J79)=0,"",SUM(J76:J79))</f>
        <v>-58308.52612960001</v>
      </c>
      <c r="K80" s="10">
        <f>IF(COUNT(K76:K79)=0,"",SUM(K76:K79))</f>
        <v>-67347.235696161399</v>
      </c>
      <c r="L80" s="10">
        <f>IF(COUNT(L76:L79)=0,"",SUM(L76:L79))</f>
        <v>-74689.569085421201</v>
      </c>
      <c r="M80" s="10">
        <f>IF(COUNT(M76:M79)=0,"",SUM(M76:M79))</f>
        <v>-85268.521496130168</v>
      </c>
      <c r="N80" s="10">
        <f>IF(COUNT(N76:N79)=0,"",SUM(N76:N79))</f>
        <v>-95127.532719261551</v>
      </c>
    </row>
    <row r="81" spans="2:14" x14ac:dyDescent="0.35">
      <c r="B81" s="65" t="s">
        <v>68</v>
      </c>
      <c r="E81" s="2"/>
      <c r="F81" s="2"/>
      <c r="G81" s="3"/>
      <c r="H81" s="3"/>
      <c r="I81" s="2"/>
    </row>
    <row r="82" spans="2:14" x14ac:dyDescent="0.35">
      <c r="B82" s="1" t="s">
        <v>69</v>
      </c>
      <c r="D82" s="87"/>
      <c r="E82" s="88">
        <v>-23886</v>
      </c>
      <c r="F82" s="88">
        <v>-28107</v>
      </c>
      <c r="G82" s="88">
        <v>-44477</v>
      </c>
      <c r="H82" s="88">
        <v>-64551</v>
      </c>
      <c r="I82" s="204">
        <v>-115948</v>
      </c>
      <c r="J82" s="41">
        <f>'3 statement Model'!J76</f>
        <v>-140000</v>
      </c>
      <c r="K82" s="41">
        <f>'3 statement Model'!K76</f>
        <v>-155000</v>
      </c>
      <c r="L82" s="41">
        <f>'3 statement Model'!L76</f>
        <v>-170000</v>
      </c>
      <c r="M82" s="41">
        <f>'3 statement Model'!M76</f>
        <v>-185000</v>
      </c>
      <c r="N82" s="41">
        <f>'3 statement Model'!N76</f>
        <v>-200000</v>
      </c>
    </row>
    <row r="83" spans="2:14" x14ac:dyDescent="0.35">
      <c r="B83" s="1" t="s">
        <v>70</v>
      </c>
      <c r="D83" s="87"/>
      <c r="E83" s="88">
        <v>-22038</v>
      </c>
      <c r="F83" s="88">
        <v>-1670</v>
      </c>
      <c r="G83" s="88">
        <v>-69132</v>
      </c>
      <c r="H83" s="88">
        <v>-5978</v>
      </c>
      <c r="I83" s="204">
        <v>-1743</v>
      </c>
      <c r="J83" s="41">
        <f>'3 statement Model'!J77</f>
        <v>0</v>
      </c>
      <c r="K83" s="41">
        <f>'3 statement Model'!K77</f>
        <v>0</v>
      </c>
      <c r="L83" s="41">
        <f>'3 statement Model'!L77</f>
        <v>0</v>
      </c>
      <c r="M83" s="41">
        <f>'3 statement Model'!M77</f>
        <v>0</v>
      </c>
      <c r="N83" s="41">
        <f>'3 statement Model'!N77</f>
        <v>0</v>
      </c>
    </row>
    <row r="84" spans="2:14" x14ac:dyDescent="0.35">
      <c r="B84" s="78" t="s">
        <v>71</v>
      </c>
      <c r="D84" s="87"/>
      <c r="E84" s="88">
        <v>18438</v>
      </c>
      <c r="F84" s="88">
        <v>10213</v>
      </c>
      <c r="G84" s="88">
        <v>17937</v>
      </c>
      <c r="H84" s="88">
        <v>-4387</v>
      </c>
      <c r="I84" s="88">
        <v>-1948</v>
      </c>
      <c r="J84" s="41">
        <f>'3 statement Model'!J78</f>
        <v>-2778.096000000005</v>
      </c>
      <c r="K84" s="41">
        <f>'3 statement Model'!K78</f>
        <v>-10721.125199999995</v>
      </c>
      <c r="L84" s="41">
        <f>'3 statement Model'!L78</f>
        <v>-11617.952084700009</v>
      </c>
      <c r="M84" s="41">
        <f>'3 statement Model'!M78</f>
        <v>-12440.077264453495</v>
      </c>
      <c r="N84" s="41">
        <f>'3 statement Model'!N78</f>
        <v>-12756.665131212649</v>
      </c>
    </row>
    <row r="85" spans="2:14" x14ac:dyDescent="0.35">
      <c r="B85" s="1" t="s">
        <v>66</v>
      </c>
      <c r="D85" s="87"/>
      <c r="E85" s="88">
        <v>-2825</v>
      </c>
      <c r="F85" s="88">
        <v>-3116</v>
      </c>
      <c r="G85" s="88">
        <v>-1298</v>
      </c>
      <c r="H85" s="88">
        <v>2317</v>
      </c>
      <c r="I85" s="204">
        <v>-19861</v>
      </c>
      <c r="J85" s="41">
        <f>'3 statement Model'!J79</f>
        <v>0</v>
      </c>
      <c r="K85" s="41">
        <f>'3 statement Model'!K79</f>
        <v>0</v>
      </c>
      <c r="L85" s="41">
        <f>'3 statement Model'!L79</f>
        <v>0</v>
      </c>
      <c r="M85" s="41">
        <f>'3 statement Model'!M79</f>
        <v>0</v>
      </c>
      <c r="N85" s="41">
        <f>'3 statement Model'!N79</f>
        <v>0</v>
      </c>
    </row>
    <row r="86" spans="2:14" x14ac:dyDescent="0.35">
      <c r="B86" s="79" t="s">
        <v>72</v>
      </c>
      <c r="C86" s="79"/>
      <c r="D86" s="104"/>
      <c r="E86" s="8">
        <f t="shared" ref="E86:I86" si="9">IF(COUNT(E82:E85)=0,"",SUM(E82:E85))</f>
        <v>-30311</v>
      </c>
      <c r="F86" s="8">
        <f t="shared" si="9"/>
        <v>-22680</v>
      </c>
      <c r="G86" s="8">
        <f t="shared" si="9"/>
        <v>-96970</v>
      </c>
      <c r="H86" s="8">
        <f t="shared" si="9"/>
        <v>-72599</v>
      </c>
      <c r="I86" s="9">
        <f t="shared" si="9"/>
        <v>-139500</v>
      </c>
      <c r="J86" s="10">
        <f>IF(COUNT(J82:J85)=0,"",SUM(J82:J85))</f>
        <v>-142778.09600000002</v>
      </c>
      <c r="K86" s="10">
        <f>IF(COUNT(K82:K85)=0,"",SUM(K82:K85))</f>
        <v>-165721.12520000001</v>
      </c>
      <c r="L86" s="10">
        <f>IF(COUNT(L82:L85)=0,"",SUM(L82:L85))</f>
        <v>-181617.95208469999</v>
      </c>
      <c r="M86" s="10">
        <f>IF(COUNT(M82:M85)=0,"",SUM(M82:M85))</f>
        <v>-197440.07726445349</v>
      </c>
      <c r="N86" s="10">
        <f>IF(COUNT(N82:N85)=0,"",SUM(N82:N85))</f>
        <v>-212756.66513121265</v>
      </c>
    </row>
    <row r="87" spans="2:14" x14ac:dyDescent="0.35">
      <c r="B87" t="s">
        <v>73</v>
      </c>
      <c r="D87" s="87"/>
      <c r="E87" s="88">
        <v>-141</v>
      </c>
      <c r="F87" s="88">
        <v>-194</v>
      </c>
      <c r="G87" s="88">
        <v>-210</v>
      </c>
      <c r="H87" s="88">
        <v>63</v>
      </c>
      <c r="I87" s="204">
        <v>-196</v>
      </c>
      <c r="J87" s="41">
        <f>'3 statement Model'!J81</f>
        <v>0</v>
      </c>
      <c r="K87" s="41">
        <f>'3 statement Model'!K81</f>
        <v>0</v>
      </c>
      <c r="L87" s="41">
        <f>'3 statement Model'!L81</f>
        <v>0</v>
      </c>
      <c r="M87" s="41">
        <f>'3 statement Model'!M81</f>
        <v>0</v>
      </c>
      <c r="N87" s="41">
        <f>'3 statement Model'!N81</f>
        <v>0</v>
      </c>
    </row>
    <row r="88" spans="2:14" x14ac:dyDescent="0.35">
      <c r="B88" s="79" t="s">
        <v>74</v>
      </c>
      <c r="C88" s="79"/>
      <c r="D88" s="104"/>
      <c r="E88" s="8">
        <f t="shared" ref="E88:I88" si="10">SUM(E74,E80,E86,E87)</f>
        <v>-293</v>
      </c>
      <c r="F88" s="8">
        <f>SUM(F74,F80,F86,F87)</f>
        <v>20773</v>
      </c>
      <c r="G88" s="8">
        <f>SUM(G74,G80,G86,G87)</f>
        <v>-16389</v>
      </c>
      <c r="H88" s="8">
        <f>SUM(H74,H80,H86,H87)</f>
        <v>11927</v>
      </c>
      <c r="I88" s="8">
        <f>SUM(I74,I80,I86,I87)</f>
        <v>-9307</v>
      </c>
      <c r="J88" s="10">
        <f>IF(COUNT(J74,J80,J86,J87)=0,"",SUM(J74,J80,J86,J87))</f>
        <v>21053.942481199396</v>
      </c>
      <c r="K88" s="10">
        <f>IF(COUNT(K74,K80,K86,K87)=0,"",SUM(K74,K80,K86,K87))</f>
        <v>34127.337852941011</v>
      </c>
      <c r="L88" s="10">
        <f>IF(COUNT(L74,L80,L86,L87)=0,"",SUM(L74,L80,L86,L87))</f>
        <v>60836.973840563034</v>
      </c>
      <c r="M88" s="10">
        <f>IF(COUNT(M74,M80,M86,M87)=0,"",SUM(M74,M80,M86,M87))</f>
        <v>84538.094870890753</v>
      </c>
      <c r="N88" s="10">
        <f>IF(COUNT(N74,N80,N86,N87)=0,"",SUM(N74,N80,N86,N87))</f>
        <v>115512.34759516505</v>
      </c>
    </row>
    <row r="89" spans="2:14" x14ac:dyDescent="0.35">
      <c r="B89" t="s">
        <v>75</v>
      </c>
      <c r="D89" s="87"/>
      <c r="E89" s="88">
        <v>14224</v>
      </c>
      <c r="F89" s="88">
        <v>13931</v>
      </c>
      <c r="G89" s="88">
        <v>34704</v>
      </c>
      <c r="H89" s="88">
        <v>18315</v>
      </c>
      <c r="I89" s="204">
        <v>30242</v>
      </c>
      <c r="J89" s="41">
        <f>'3 statement Model'!J83</f>
        <v>20935</v>
      </c>
      <c r="K89" s="41">
        <f>'3 statement Model'!K83</f>
        <v>41988.942481199396</v>
      </c>
      <c r="L89" s="41">
        <f>'3 statement Model'!L83</f>
        <v>76116.280334140407</v>
      </c>
      <c r="M89" s="41">
        <f>'3 statement Model'!M83</f>
        <v>136953.25417470344</v>
      </c>
      <c r="N89" s="41">
        <f>'3 statement Model'!N83</f>
        <v>221491.34904559419</v>
      </c>
    </row>
    <row r="90" spans="2:14" x14ac:dyDescent="0.35">
      <c r="B90" s="79" t="s">
        <v>76</v>
      </c>
      <c r="C90" s="79"/>
      <c r="D90" s="104"/>
      <c r="E90" s="8">
        <f t="shared" ref="E90:I90" si="11">SUM(E88:E89)</f>
        <v>13931</v>
      </c>
      <c r="F90" s="8">
        <f>SUM(F88:F89)</f>
        <v>34704</v>
      </c>
      <c r="G90" s="8">
        <f>SUM(G88:G89)</f>
        <v>18315</v>
      </c>
      <c r="H90" s="8">
        <f>SUM(H88:H89)</f>
        <v>30242</v>
      </c>
      <c r="I90" s="8">
        <f>SUM(I88:I89)</f>
        <v>20935</v>
      </c>
      <c r="J90" s="10">
        <f>IF(COUNT(J88:J89)=0,"",SUM(J88:J89))</f>
        <v>41988.942481199396</v>
      </c>
      <c r="K90" s="10">
        <f>IF(COUNT(K88:K89)=0,"",SUM(K88:K89))</f>
        <v>76116.280334140407</v>
      </c>
      <c r="L90" s="10">
        <f>IF(COUNT(L88:L89)=0,"",SUM(L88:L89))</f>
        <v>136953.25417470344</v>
      </c>
      <c r="M90" s="10">
        <f>IF(COUNT(M88:M89)=0,"",SUM(M88:M89))</f>
        <v>221491.34904559419</v>
      </c>
      <c r="N90" s="10">
        <f>IF(COUNT(N88:N89)=0,"",SUM(N88:N89))</f>
        <v>337003.69664075924</v>
      </c>
    </row>
    <row r="92" spans="2:14" x14ac:dyDescent="0.35">
      <c r="B92" s="80" t="s">
        <v>77</v>
      </c>
      <c r="C92" s="80"/>
      <c r="D92" s="105"/>
      <c r="E92" s="81">
        <f t="shared" ref="E92:I92" si="12">IF(OR(E109="",E132=""),"",E109-E132)</f>
        <v>0</v>
      </c>
      <c r="F92" s="81">
        <f t="shared" si="12"/>
        <v>0</v>
      </c>
      <c r="G92" s="81">
        <f t="shared" si="12"/>
        <v>0</v>
      </c>
      <c r="H92" s="81">
        <f t="shared" si="12"/>
        <v>0</v>
      </c>
      <c r="I92" s="81">
        <f t="shared" si="12"/>
        <v>0</v>
      </c>
      <c r="J92" s="81">
        <f>IF(OR(J109="",J132=""),"",J109-J132)</f>
        <v>2.3283064365386963E-10</v>
      </c>
      <c r="K92" s="81">
        <f>IF(OR(K109="",K132=""),"",K109-K132)</f>
        <v>0</v>
      </c>
      <c r="L92" s="81">
        <f>IF(OR(L109="",L132=""),"",L109-L132)</f>
        <v>0</v>
      </c>
      <c r="M92" s="81">
        <f>IF(OR(M109="",M132=""),"",M109-M132)</f>
        <v>0</v>
      </c>
      <c r="N92" s="81">
        <f>IF(OR(N109="",N132=""),"",N109-N132)</f>
        <v>-2.3283064365386963E-10</v>
      </c>
    </row>
    <row r="94" spans="2:14" x14ac:dyDescent="0.35">
      <c r="B94" s="56" t="s">
        <v>78</v>
      </c>
      <c r="E94" s="57" t="s">
        <v>3</v>
      </c>
      <c r="F94" s="58"/>
      <c r="G94" s="58"/>
      <c r="H94" s="58"/>
      <c r="I94" s="58" t="s">
        <v>1113</v>
      </c>
      <c r="J94" s="59"/>
      <c r="K94" s="59"/>
      <c r="L94" s="59"/>
      <c r="M94" s="59"/>
      <c r="N94" s="59"/>
    </row>
    <row r="95" spans="2:14" x14ac:dyDescent="0.35">
      <c r="B95" s="76" t="s">
        <v>41</v>
      </c>
      <c r="E95" s="62" t="str">
        <f>(2021+COLUMN()-COLUMN($D$5))&amp;IF(COLUMN()-COLUMN($D$5)&lt;5,"A","E")</f>
        <v>2022A</v>
      </c>
      <c r="F95" s="62" t="str">
        <f>(2021+COLUMN()-COLUMN($D$5))&amp;IF(COLUMN()-COLUMN($D$5)&lt;5,"A","E")</f>
        <v>2023A</v>
      </c>
      <c r="G95" s="62" t="str">
        <f>(2021+COLUMN()-COLUMN($D$5))&amp;IF(COLUMN()-COLUMN($D$5)&lt;5,"A","E")</f>
        <v>2024A</v>
      </c>
      <c r="H95" s="62" t="str">
        <f>(2021+COLUMN()-COLUMN($D$5))&amp;IF(COLUMN()-COLUMN($D$5)&lt;5,"A","E")</f>
        <v>2025A</v>
      </c>
      <c r="I95" s="77" t="s">
        <v>5</v>
      </c>
      <c r="J95" s="63" t="str">
        <f>(2021+COLUMN()-COLUMN($D$5))&amp;IF(COLUMN()-COLUMN($D$5)&lt;5,"A","E")</f>
        <v>2027E</v>
      </c>
      <c r="K95" s="63" t="str">
        <f>(2021+COLUMN()-COLUMN($D$5))&amp;IF(COLUMN()-COLUMN($D$5)&lt;5,"A","E")</f>
        <v>2028E</v>
      </c>
      <c r="L95" s="63" t="str">
        <f>(2021+COLUMN()-COLUMN($D$5))&amp;IF(COLUMN()-COLUMN($D$5)&lt;5,"A","E")</f>
        <v>2029E</v>
      </c>
      <c r="M95" s="63" t="str">
        <f>(2021+COLUMN()-COLUMN($D$5))&amp;IF(COLUMN()-COLUMN($D$5)&lt;5,"A","E")</f>
        <v>2030E</v>
      </c>
      <c r="N95" s="63" t="str">
        <f>(2021+COLUMN()-COLUMN($D$5))&amp;IF(COLUMN()-COLUMN($D$5)&lt;5,"A","E")</f>
        <v>2031E</v>
      </c>
    </row>
    <row r="96" spans="2:14" x14ac:dyDescent="0.35">
      <c r="B96" s="65" t="s">
        <v>79</v>
      </c>
    </row>
    <row r="97" spans="2:14" x14ac:dyDescent="0.35">
      <c r="B97" s="1" t="s">
        <v>80</v>
      </c>
    </row>
    <row r="98" spans="2:14" x14ac:dyDescent="0.35">
      <c r="B98" s="1" t="s">
        <v>81</v>
      </c>
      <c r="D98" s="87"/>
      <c r="E98" s="88">
        <v>13931</v>
      </c>
      <c r="F98" s="88">
        <v>34704</v>
      </c>
      <c r="G98" s="88">
        <v>18315</v>
      </c>
      <c r="H98" s="88">
        <v>30242</v>
      </c>
      <c r="I98" s="204">
        <v>20935</v>
      </c>
      <c r="J98" s="41">
        <f>'3 statement Model'!J91</f>
        <v>41988.942481199396</v>
      </c>
      <c r="K98" s="41">
        <f>'3 statement Model'!K91</f>
        <v>76116.280334140407</v>
      </c>
      <c r="L98" s="41">
        <f>'3 statement Model'!L91</f>
        <v>136953.25417470344</v>
      </c>
      <c r="M98" s="41">
        <f>'3 statement Model'!M91</f>
        <v>221491.34904559419</v>
      </c>
      <c r="N98" s="41">
        <f>'3 statement Model'!N91</f>
        <v>337003.69664075924</v>
      </c>
    </row>
    <row r="99" spans="2:14" x14ac:dyDescent="0.35">
      <c r="B99" s="1" t="s">
        <v>82</v>
      </c>
      <c r="D99" s="87"/>
      <c r="E99" s="88">
        <v>90826</v>
      </c>
      <c r="F99" s="88">
        <v>76558</v>
      </c>
      <c r="G99" s="88">
        <v>57228</v>
      </c>
      <c r="H99" s="88">
        <v>64323</v>
      </c>
      <c r="I99" s="204">
        <v>55908</v>
      </c>
      <c r="J99" s="41">
        <f>'3 statement Model'!J92</f>
        <v>58504.356000000007</v>
      </c>
      <c r="K99" s="41">
        <f>'3 statement Model'!K92</f>
        <v>69042.832500000004</v>
      </c>
      <c r="L99" s="41">
        <f>'3 statement Model'!L92</f>
        <v>80477.222641200016</v>
      </c>
      <c r="M99" s="41">
        <f>'3 statement Model'!M92</f>
        <v>92732.820152436019</v>
      </c>
      <c r="N99" s="41">
        <f>'3 statement Model'!N92</f>
        <v>105304.08313166509</v>
      </c>
    </row>
    <row r="100" spans="2:14" x14ac:dyDescent="0.35">
      <c r="B100" s="82" t="s">
        <v>50</v>
      </c>
      <c r="D100" s="87"/>
      <c r="E100" s="88">
        <v>44261</v>
      </c>
      <c r="F100" s="88">
        <v>48688</v>
      </c>
      <c r="G100" s="88">
        <v>56924</v>
      </c>
      <c r="H100" s="88">
        <v>69905</v>
      </c>
      <c r="I100" s="204">
        <v>80876</v>
      </c>
      <c r="J100" s="41">
        <f>'3 statement Model'!J94</f>
        <v>95102.971397260277</v>
      </c>
      <c r="K100" s="41">
        <f>'3 statement Model'!K94</f>
        <v>112234.01082191782</v>
      </c>
      <c r="L100" s="41">
        <f>'3 statement Model'!L94</f>
        <v>129351.517669874</v>
      </c>
      <c r="M100" s="41">
        <f>'3 statement Model'!M94</f>
        <v>149050.01229980585</v>
      </c>
      <c r="N100" s="41">
        <f>'3 statement Model'!N94</f>
        <v>167332.51566127603</v>
      </c>
    </row>
    <row r="101" spans="2:14" x14ac:dyDescent="0.35">
      <c r="B101" s="1" t="s">
        <v>51</v>
      </c>
      <c r="D101" s="87"/>
      <c r="E101" s="88">
        <v>3742</v>
      </c>
      <c r="F101" s="88">
        <v>2500</v>
      </c>
      <c r="G101" s="88">
        <v>1246</v>
      </c>
      <c r="H101" s="88">
        <v>938</v>
      </c>
      <c r="I101" s="204">
        <v>1397</v>
      </c>
      <c r="J101" s="41">
        <f>'3 statement Model'!J95</f>
        <v>1837.9450652054795</v>
      </c>
      <c r="K101" s="41">
        <f>'3 statement Model'!K95</f>
        <v>2169.016838356164</v>
      </c>
      <c r="L101" s="41">
        <f>'3 statement Model'!L95</f>
        <v>2513.5351729032336</v>
      </c>
      <c r="M101" s="41">
        <f>'3 statement Model'!M95</f>
        <v>2879.3752376098855</v>
      </c>
      <c r="N101" s="41">
        <f>'3 statement Model'!N95</f>
        <v>3250.4822007765115</v>
      </c>
    </row>
    <row r="102" spans="2:14" x14ac:dyDescent="0.35">
      <c r="B102" s="1" t="s">
        <v>52</v>
      </c>
      <c r="D102" s="87"/>
      <c r="E102" s="88">
        <v>16924</v>
      </c>
      <c r="F102" s="88">
        <v>21807</v>
      </c>
      <c r="G102" s="88">
        <v>26021</v>
      </c>
      <c r="H102" s="88">
        <v>25723</v>
      </c>
      <c r="I102" s="204">
        <v>48594</v>
      </c>
      <c r="J102" s="41">
        <f>'3 statement Model'!J96</f>
        <v>48594</v>
      </c>
      <c r="K102" s="41">
        <f>'3 statement Model'!K96</f>
        <v>48594</v>
      </c>
      <c r="L102" s="41">
        <f>'3 statement Model'!L96</f>
        <v>48594</v>
      </c>
      <c r="M102" s="41">
        <f>'3 statement Model'!M96</f>
        <v>48594</v>
      </c>
      <c r="N102" s="41">
        <f>'3 statement Model'!N96</f>
        <v>48594</v>
      </c>
    </row>
    <row r="103" spans="2:14" x14ac:dyDescent="0.35">
      <c r="B103" s="83" t="s">
        <v>83</v>
      </c>
      <c r="C103" s="79"/>
      <c r="D103" s="104"/>
      <c r="E103" s="8">
        <f t="shared" ref="E103:I103" si="13">IF(COUNT(E98:E102)=0,"",SUM(E98:E102))</f>
        <v>169684</v>
      </c>
      <c r="F103" s="8">
        <f t="shared" si="13"/>
        <v>184257</v>
      </c>
      <c r="G103" s="8">
        <f t="shared" si="13"/>
        <v>159734</v>
      </c>
      <c r="H103" s="8">
        <f t="shared" si="13"/>
        <v>191131</v>
      </c>
      <c r="I103" s="9">
        <f t="shared" si="13"/>
        <v>207710</v>
      </c>
      <c r="J103" s="10">
        <f>IF(COUNT(J98:J102)=0,"",SUM(J98:J102))</f>
        <v>246028.21494366517</v>
      </c>
      <c r="K103" s="10">
        <f>IF(COUNT(K98:K102)=0,"",SUM(K98:K102))</f>
        <v>308156.14049441437</v>
      </c>
      <c r="L103" s="10">
        <f>IF(COUNT(L98:L102)=0,"",SUM(L98:L102))</f>
        <v>397889.52965868067</v>
      </c>
      <c r="M103" s="10">
        <f>IF(COUNT(M98:M102)=0,"",SUM(M98:M102))</f>
        <v>514747.55673544592</v>
      </c>
      <c r="N103" s="10">
        <f>IF(COUNT(N98:N102)=0,"",SUM(N98:N102))</f>
        <v>661484.77763447678</v>
      </c>
    </row>
    <row r="104" spans="2:14" x14ac:dyDescent="0.35">
      <c r="B104" s="82" t="s">
        <v>84</v>
      </c>
      <c r="D104" s="87"/>
      <c r="E104" s="88">
        <v>74398</v>
      </c>
      <c r="F104" s="88">
        <v>95641</v>
      </c>
      <c r="G104" s="88">
        <v>135591</v>
      </c>
      <c r="H104" s="88">
        <v>204966</v>
      </c>
      <c r="I104" s="204">
        <v>313076</v>
      </c>
      <c r="J104" s="41">
        <f>'3 statement Model'!J98</f>
        <v>417301.12</v>
      </c>
      <c r="K104" s="41">
        <f>'3 statement Model'!K98</f>
        <v>522001.97440000001</v>
      </c>
      <c r="L104" s="41">
        <f>'3 statement Model'!L98</f>
        <v>627116.71772800002</v>
      </c>
      <c r="M104" s="41">
        <f>'3 statement Model'!M98</f>
        <v>732591.54442336003</v>
      </c>
      <c r="N104" s="41">
        <f>'3 statement Model'!N98</f>
        <v>838379.64364832325</v>
      </c>
    </row>
    <row r="105" spans="2:14" x14ac:dyDescent="0.35">
      <c r="B105" s="1" t="s">
        <v>85</v>
      </c>
      <c r="D105" s="87"/>
      <c r="E105" s="88">
        <v>13148</v>
      </c>
      <c r="F105" s="88">
        <v>14346</v>
      </c>
      <c r="G105" s="88">
        <v>18961</v>
      </c>
      <c r="H105" s="88">
        <v>24823</v>
      </c>
      <c r="I105" s="204">
        <v>24177</v>
      </c>
      <c r="J105" s="41">
        <f>'3 statement Model'!J99</f>
        <v>31256.5276122449</v>
      </c>
      <c r="K105" s="41">
        <f>'3 statement Model'!K99</f>
        <v>36609.637636872554</v>
      </c>
      <c r="L105" s="41">
        <f>'3 statement Model'!L99</f>
        <v>40669.072932299692</v>
      </c>
      <c r="M105" s="41">
        <f>'3 statement Model'!M99</f>
        <v>43759.143438660081</v>
      </c>
      <c r="N105" s="41">
        <f>'3 statement Model'!N99</f>
        <v>46122.89647022073</v>
      </c>
    </row>
    <row r="106" spans="2:14" x14ac:dyDescent="0.35">
      <c r="B106" s="1" t="s">
        <v>86</v>
      </c>
      <c r="D106" s="87"/>
      <c r="E106" s="88">
        <v>6891</v>
      </c>
      <c r="F106" s="88">
        <v>9879</v>
      </c>
      <c r="G106" s="88">
        <v>14600</v>
      </c>
      <c r="H106" s="88">
        <v>15405</v>
      </c>
      <c r="I106" s="204">
        <v>36348</v>
      </c>
      <c r="J106" s="41">
        <f>'3 statement Model'!J100</f>
        <v>36529.74</v>
      </c>
      <c r="K106" s="41">
        <f>'3 statement Model'!K100</f>
        <v>36712.388699999996</v>
      </c>
      <c r="L106" s="41">
        <f>'3 statement Model'!L100</f>
        <v>36895.950643499993</v>
      </c>
      <c r="M106" s="41">
        <f>'3 statement Model'!M100</f>
        <v>37080.430396717486</v>
      </c>
      <c r="N106" s="41">
        <f>'3 statement Model'!N100</f>
        <v>37265.832548701066</v>
      </c>
    </row>
    <row r="107" spans="2:14" x14ac:dyDescent="0.35">
      <c r="B107" s="84" t="s">
        <v>87</v>
      </c>
      <c r="D107" s="87"/>
      <c r="E107" s="88">
        <v>78822</v>
      </c>
      <c r="F107" s="88">
        <v>77252</v>
      </c>
      <c r="G107" s="88">
        <v>146817</v>
      </c>
      <c r="H107" s="88">
        <v>142113</v>
      </c>
      <c r="I107" s="88">
        <v>138260</v>
      </c>
      <c r="J107" s="41">
        <f>'3 statement Model'!J101</f>
        <v>135328</v>
      </c>
      <c r="K107" s="41">
        <f>'3 statement Model'!K101</f>
        <v>133290</v>
      </c>
      <c r="L107" s="41">
        <f>'3 statement Model'!L101</f>
        <v>131437</v>
      </c>
      <c r="M107" s="41">
        <f>'3 statement Model'!M101</f>
        <v>130052</v>
      </c>
      <c r="N107" s="41">
        <f>'3 statement Model'!N101</f>
        <v>128667</v>
      </c>
    </row>
    <row r="108" spans="2:14" x14ac:dyDescent="0.35">
      <c r="B108" s="1" t="s">
        <v>53</v>
      </c>
      <c r="D108" s="87"/>
      <c r="E108" s="88">
        <v>21897</v>
      </c>
      <c r="F108" s="88">
        <v>30601</v>
      </c>
      <c r="G108" s="88">
        <v>36460</v>
      </c>
      <c r="H108" s="88">
        <v>40565</v>
      </c>
      <c r="I108" s="204">
        <v>38805</v>
      </c>
      <c r="J108" s="41">
        <f>'3 statement Model'!J102</f>
        <v>38805</v>
      </c>
      <c r="K108" s="41">
        <f>'3 statement Model'!K102</f>
        <v>38805</v>
      </c>
      <c r="L108" s="41">
        <f>'3 statement Model'!L102</f>
        <v>38805</v>
      </c>
      <c r="M108" s="41">
        <f>'3 statement Model'!M102</f>
        <v>38805</v>
      </c>
      <c r="N108" s="41">
        <f>'3 statement Model'!N102</f>
        <v>38805</v>
      </c>
    </row>
    <row r="109" spans="2:14" ht="15" thickBot="1" x14ac:dyDescent="0.4">
      <c r="B109" s="85" t="s">
        <v>88</v>
      </c>
      <c r="C109" s="73"/>
      <c r="D109" s="102"/>
      <c r="E109" s="11">
        <f t="shared" ref="E109:I109" si="14">IF(COUNT(E103:E108)=0,"",SUM(E103:E108))</f>
        <v>364840</v>
      </c>
      <c r="F109" s="11">
        <f t="shared" si="14"/>
        <v>411976</v>
      </c>
      <c r="G109" s="11">
        <f t="shared" si="14"/>
        <v>512163</v>
      </c>
      <c r="H109" s="11">
        <f t="shared" si="14"/>
        <v>619003</v>
      </c>
      <c r="I109" s="12">
        <f t="shared" si="14"/>
        <v>758376</v>
      </c>
      <c r="J109" s="13">
        <f>IF(COUNT(J103:J108)=0,"",SUM(J103:J108))</f>
        <v>905248.60255591013</v>
      </c>
      <c r="K109" s="13">
        <f>IF(COUNT(K103:K108)=0,"",SUM(K103:K108))</f>
        <v>1075575.1412312868</v>
      </c>
      <c r="L109" s="13">
        <f>IF(COUNT(L103:L108)=0,"",SUM(L103:L108))</f>
        <v>1272813.2709624805</v>
      </c>
      <c r="M109" s="13">
        <f>IF(COUNT(M103:M108)=0,"",SUM(M103:M108))</f>
        <v>1497035.6749941835</v>
      </c>
      <c r="N109" s="13">
        <f>IF(COUNT(N103:N108)=0,"",SUM(N103:N108))</f>
        <v>1750725.1503017216</v>
      </c>
    </row>
    <row r="110" spans="2:14" x14ac:dyDescent="0.35">
      <c r="B110" s="65" t="s">
        <v>89</v>
      </c>
      <c r="E110" s="2"/>
      <c r="F110" s="2"/>
      <c r="G110" s="2"/>
      <c r="H110" s="3"/>
      <c r="I110" s="3"/>
    </row>
    <row r="111" spans="2:14" x14ac:dyDescent="0.35">
      <c r="B111" s="1" t="s">
        <v>90</v>
      </c>
      <c r="E111" s="2"/>
      <c r="F111" s="2"/>
      <c r="G111" s="2"/>
      <c r="H111" s="3"/>
      <c r="I111" s="3"/>
    </row>
    <row r="112" spans="2:14" x14ac:dyDescent="0.35">
      <c r="B112" s="1" t="s">
        <v>55</v>
      </c>
      <c r="D112" s="87"/>
      <c r="E112" s="88">
        <v>19000</v>
      </c>
      <c r="F112" s="88">
        <v>18095</v>
      </c>
      <c r="G112" s="88">
        <v>21996</v>
      </c>
      <c r="H112" s="88">
        <v>27724</v>
      </c>
      <c r="I112" s="204">
        <v>42416</v>
      </c>
      <c r="J112" s="41">
        <f>'3 statement Model'!J106</f>
        <v>51462.461825753424</v>
      </c>
      <c r="K112" s="41">
        <f>'3 statement Model'!K106</f>
        <v>58563.454635616443</v>
      </c>
      <c r="L112" s="41">
        <f>'3 statement Model'!L106</f>
        <v>65351.914495484059</v>
      </c>
      <c r="M112" s="41">
        <f>'3 statement Model'!M106</f>
        <v>71984.380940247138</v>
      </c>
      <c r="N112" s="41">
        <f>'3 statement Model'!N106</f>
        <v>78011.572818636268</v>
      </c>
    </row>
    <row r="113" spans="2:14" x14ac:dyDescent="0.35">
      <c r="B113" s="1" t="s">
        <v>91</v>
      </c>
      <c r="D113" s="87"/>
      <c r="E113" s="88">
        <v>0</v>
      </c>
      <c r="F113" s="88">
        <v>0</v>
      </c>
      <c r="G113" s="88">
        <v>6693</v>
      </c>
      <c r="H113" s="88">
        <v>0</v>
      </c>
      <c r="I113" s="94"/>
      <c r="J113" s="41">
        <f>'3 statement Model'!J107</f>
        <v>0</v>
      </c>
      <c r="K113" s="41">
        <f>'3 statement Model'!K107</f>
        <v>0</v>
      </c>
      <c r="L113" s="41">
        <f>'3 statement Model'!L107</f>
        <v>0</v>
      </c>
      <c r="M113" s="41">
        <f>'3 statement Model'!M107</f>
        <v>0</v>
      </c>
      <c r="N113" s="41">
        <f>'3 statement Model'!N107</f>
        <v>0</v>
      </c>
    </row>
    <row r="114" spans="2:14" x14ac:dyDescent="0.35">
      <c r="B114" s="1" t="s">
        <v>92</v>
      </c>
      <c r="D114" s="87"/>
      <c r="E114" s="88">
        <v>2749</v>
      </c>
      <c r="F114" s="88">
        <v>5247</v>
      </c>
      <c r="G114" s="88">
        <v>2249</v>
      </c>
      <c r="H114" s="88">
        <v>2999</v>
      </c>
      <c r="I114" s="204">
        <v>9227</v>
      </c>
      <c r="J114" s="41">
        <f>'3 statement Model'!J108</f>
        <v>3000</v>
      </c>
      <c r="K114" s="41">
        <f>'3 statement Model'!K108</f>
        <v>1300</v>
      </c>
      <c r="L114" s="41">
        <f>'3 statement Model'!L108</f>
        <v>2300</v>
      </c>
      <c r="M114" s="41">
        <f>'3 statement Model'!M108</f>
        <v>2000</v>
      </c>
      <c r="N114" s="41">
        <f>'3 statement Model'!N108</f>
        <v>0</v>
      </c>
    </row>
    <row r="115" spans="2:14" x14ac:dyDescent="0.35">
      <c r="B115" s="1" t="s">
        <v>93</v>
      </c>
      <c r="D115" s="87"/>
      <c r="E115" s="88">
        <v>10661</v>
      </c>
      <c r="F115" s="88">
        <v>11009</v>
      </c>
      <c r="G115" s="88">
        <v>12564</v>
      </c>
      <c r="H115" s="88">
        <v>13709</v>
      </c>
      <c r="I115" s="204">
        <v>14945</v>
      </c>
      <c r="J115" s="41">
        <f>'3 statement Model'!J109</f>
        <v>17565.699037183695</v>
      </c>
      <c r="K115" s="41">
        <f>'3 statement Model'!K109</f>
        <v>20729.834482233855</v>
      </c>
      <c r="L115" s="41">
        <f>'3 statement Model'!L109</f>
        <v>24162.964416935807</v>
      </c>
      <c r="M115" s="41">
        <f>'3 statement Model'!M109</f>
        <v>27842.658581986168</v>
      </c>
      <c r="N115" s="41">
        <f>'3 statement Model'!N109</f>
        <v>31617.130042033132</v>
      </c>
    </row>
    <row r="116" spans="2:14" x14ac:dyDescent="0.35">
      <c r="B116" s="1" t="s">
        <v>94</v>
      </c>
      <c r="D116" s="87"/>
      <c r="E116" s="88">
        <v>4067</v>
      </c>
      <c r="F116" s="88">
        <v>4152</v>
      </c>
      <c r="G116" s="88">
        <v>5017</v>
      </c>
      <c r="H116" s="88">
        <v>7211</v>
      </c>
      <c r="I116" s="204">
        <v>2534</v>
      </c>
      <c r="J116" s="41">
        <f>'3 statement Model'!J110</f>
        <v>2978.3527173117086</v>
      </c>
      <c r="K116" s="41">
        <f>'3 statement Model'!K110</f>
        <v>3514.8478138494879</v>
      </c>
      <c r="L116" s="41">
        <f>'3 statement Model'!L110</f>
        <v>4096.952280529631</v>
      </c>
      <c r="M116" s="41">
        <f>'3 statement Model'!M110</f>
        <v>4720.8629539480071</v>
      </c>
      <c r="N116" s="41">
        <f>'3 statement Model'!N110</f>
        <v>5360.8435949489431</v>
      </c>
    </row>
    <row r="117" spans="2:14" x14ac:dyDescent="0.35">
      <c r="B117" s="1" t="s">
        <v>95</v>
      </c>
      <c r="D117" s="87"/>
      <c r="E117" s="88">
        <v>45538</v>
      </c>
      <c r="F117" s="88">
        <v>50901</v>
      </c>
      <c r="G117" s="88">
        <v>57582</v>
      </c>
      <c r="H117" s="88">
        <v>64555</v>
      </c>
      <c r="I117" s="204">
        <v>72965</v>
      </c>
      <c r="J117" s="41">
        <f>'3 statement Model'!J111</f>
        <v>82374.133248000013</v>
      </c>
      <c r="K117" s="41">
        <f>'3 statement Model'!K111</f>
        <v>97212.30816</v>
      </c>
      <c r="L117" s="41">
        <f>'3 statement Model'!L111</f>
        <v>113311.92947880963</v>
      </c>
      <c r="M117" s="41">
        <f>'3 statement Model'!M111</f>
        <v>130567.81077462991</v>
      </c>
      <c r="N117" s="41">
        <f>'3 statement Model'!N111</f>
        <v>148268.14904938446</v>
      </c>
    </row>
    <row r="118" spans="2:14" x14ac:dyDescent="0.35">
      <c r="B118" s="1" t="s">
        <v>58</v>
      </c>
      <c r="D118" s="87"/>
      <c r="E118" s="88">
        <v>13067</v>
      </c>
      <c r="F118" s="88">
        <v>14745</v>
      </c>
      <c r="G118" s="88">
        <v>19185</v>
      </c>
      <c r="H118" s="88">
        <v>25020</v>
      </c>
      <c r="I118" s="204">
        <v>26738</v>
      </c>
      <c r="J118" s="41">
        <f>'3 statement Model'!J112</f>
        <v>20045.700707873399</v>
      </c>
      <c r="K118" s="41">
        <f>'3 statement Model'!K112</f>
        <v>23656.562535597084</v>
      </c>
      <c r="L118" s="41">
        <f>'3 statement Model'!L112</f>
        <v>27574.39666315425</v>
      </c>
      <c r="M118" s="41">
        <f>'3 statement Model'!M112</f>
        <v>31773.606029827646</v>
      </c>
      <c r="N118" s="41">
        <f>'3 statement Model'!N112</f>
        <v>36080.973761584144</v>
      </c>
    </row>
    <row r="119" spans="2:14" x14ac:dyDescent="0.35">
      <c r="B119" s="83" t="s">
        <v>96</v>
      </c>
      <c r="C119" s="79"/>
      <c r="D119" s="104"/>
      <c r="E119" s="8">
        <f t="shared" ref="E119:I119" si="15">IF(COUNT(E112:E118)=0,"",SUM(E112:E118))</f>
        <v>95082</v>
      </c>
      <c r="F119" s="8">
        <f t="shared" si="15"/>
        <v>104149</v>
      </c>
      <c r="G119" s="8">
        <f t="shared" si="15"/>
        <v>125286</v>
      </c>
      <c r="H119" s="8">
        <f t="shared" si="15"/>
        <v>141218</v>
      </c>
      <c r="I119" s="9">
        <f t="shared" si="15"/>
        <v>168825</v>
      </c>
      <c r="J119" s="10">
        <f>IF(COUNT(J112:J118)=0,"",SUM(J112:J118))</f>
        <v>177426.34753612222</v>
      </c>
      <c r="K119" s="10">
        <f>IF(COUNT(K112:K118)=0,"",SUM(K112:K118))</f>
        <v>204977.00762729684</v>
      </c>
      <c r="L119" s="10">
        <f>IF(COUNT(L112:L118)=0,"",SUM(L112:L118))</f>
        <v>236798.15733491338</v>
      </c>
      <c r="M119" s="10">
        <f>IF(COUNT(M112:M118)=0,"",SUM(M112:M118))</f>
        <v>268889.31928063888</v>
      </c>
      <c r="N119" s="10">
        <f>IF(COUNT(N112:N118)=0,"",SUM(N112:N118))</f>
        <v>299338.66926658695</v>
      </c>
    </row>
    <row r="120" spans="2:14" x14ac:dyDescent="0.35">
      <c r="B120" s="1" t="s">
        <v>97</v>
      </c>
      <c r="D120" s="87"/>
      <c r="E120" s="88">
        <v>47032</v>
      </c>
      <c r="F120" s="88">
        <v>41990</v>
      </c>
      <c r="G120" s="88">
        <v>42688</v>
      </c>
      <c r="H120" s="88">
        <v>40152</v>
      </c>
      <c r="I120" s="204">
        <v>31067</v>
      </c>
      <c r="J120" s="41">
        <f>'3 statement Model'!J114</f>
        <v>35094</v>
      </c>
      <c r="K120" s="41">
        <f>'3 statement Model'!K114</f>
        <v>33794</v>
      </c>
      <c r="L120" s="41">
        <f>'3 statement Model'!L114</f>
        <v>31494</v>
      </c>
      <c r="M120" s="41">
        <f>'3 statement Model'!M114</f>
        <v>29494</v>
      </c>
      <c r="N120" s="41">
        <f>'3 statement Model'!N114</f>
        <v>29494</v>
      </c>
    </row>
    <row r="121" spans="2:14" x14ac:dyDescent="0.35">
      <c r="B121" s="1" t="s">
        <v>98</v>
      </c>
      <c r="D121" s="87"/>
      <c r="E121" s="88">
        <v>2870</v>
      </c>
      <c r="F121" s="88">
        <v>2912</v>
      </c>
      <c r="G121" s="88">
        <v>2602</v>
      </c>
      <c r="H121" s="88">
        <v>2710</v>
      </c>
      <c r="I121" s="204">
        <v>2747</v>
      </c>
      <c r="J121" s="41">
        <f>'3 statement Model'!J115</f>
        <v>3432.2555520000005</v>
      </c>
      <c r="K121" s="41">
        <f>'3 statement Model'!K115</f>
        <v>4050.5128400000003</v>
      </c>
      <c r="L121" s="41">
        <f>'3 statement Model'!L115</f>
        <v>4721.3303949504016</v>
      </c>
      <c r="M121" s="41">
        <f>'3 statement Model'!M115</f>
        <v>5440.3254489429137</v>
      </c>
      <c r="N121" s="41">
        <f>'3 statement Model'!N115</f>
        <v>6177.8395437243526</v>
      </c>
    </row>
    <row r="122" spans="2:14" x14ac:dyDescent="0.35">
      <c r="B122" s="1" t="s">
        <v>99</v>
      </c>
      <c r="D122" s="87"/>
      <c r="E122" s="88">
        <v>26299</v>
      </c>
      <c r="F122" s="88">
        <v>25993</v>
      </c>
      <c r="G122" s="88">
        <v>30549</v>
      </c>
      <c r="H122" s="88">
        <v>28821</v>
      </c>
      <c r="I122" s="88">
        <v>31701</v>
      </c>
      <c r="J122" s="41">
        <f>'3 statement Model'!J116</f>
        <v>31701</v>
      </c>
      <c r="K122" s="41">
        <f>'3 statement Model'!K116</f>
        <v>31701</v>
      </c>
      <c r="L122" s="41">
        <f>'3 statement Model'!L116</f>
        <v>31701</v>
      </c>
      <c r="M122" s="41">
        <f>'3 statement Model'!M116</f>
        <v>31701</v>
      </c>
      <c r="N122" s="41">
        <f>'3 statement Model'!N116</f>
        <v>31701</v>
      </c>
    </row>
    <row r="123" spans="2:14" x14ac:dyDescent="0.35">
      <c r="B123" s="1" t="s">
        <v>100</v>
      </c>
      <c r="D123" s="87"/>
      <c r="E123" s="88">
        <v>11489</v>
      </c>
      <c r="F123" s="88">
        <v>12728</v>
      </c>
      <c r="G123" s="88">
        <v>15497</v>
      </c>
      <c r="H123" s="88">
        <v>17437</v>
      </c>
      <c r="I123" s="204">
        <v>16532</v>
      </c>
      <c r="J123" s="41">
        <f>'3 statement Model'!J117</f>
        <v>29683.320469387756</v>
      </c>
      <c r="K123" s="41">
        <f>'3 statement Model'!K117</f>
        <v>35866.927514277806</v>
      </c>
      <c r="L123" s="41">
        <f>'3 statement Model'!L117</f>
        <v>40871.569330495076</v>
      </c>
      <c r="M123" s="41">
        <f>'3 statement Model'!M117</f>
        <v>44993.834256833317</v>
      </c>
      <c r="N123" s="41">
        <f>'3 statement Model'!N117</f>
        <v>48455.997504936684</v>
      </c>
    </row>
    <row r="124" spans="2:14" x14ac:dyDescent="0.35">
      <c r="B124" s="1" t="s">
        <v>859</v>
      </c>
      <c r="D124" s="87"/>
      <c r="E124" s="88">
        <v>15526</v>
      </c>
      <c r="F124" s="88">
        <v>17981</v>
      </c>
      <c r="G124" s="88">
        <v>27064</v>
      </c>
      <c r="H124" s="88">
        <v>45186</v>
      </c>
      <c r="I124" s="204">
        <v>65117</v>
      </c>
      <c r="J124" s="41">
        <f>'3 statement Model'!J118</f>
        <v>78857.5</v>
      </c>
      <c r="K124" s="41">
        <f>'3 statement Model'!K118</f>
        <v>87520.458333333328</v>
      </c>
      <c r="L124" s="41">
        <f>'3 statement Model'!L118</f>
        <v>95461.503472222219</v>
      </c>
      <c r="M124" s="41">
        <f>'3 statement Model'!M118</f>
        <v>102740.79484953704</v>
      </c>
      <c r="N124" s="41">
        <f>'3 statement Model'!N118</f>
        <v>109413.47861207562</v>
      </c>
    </row>
    <row r="125" spans="2:14" x14ac:dyDescent="0.35">
      <c r="B125" s="83" t="s">
        <v>101</v>
      </c>
      <c r="C125" s="79"/>
      <c r="D125" s="104"/>
      <c r="E125" s="8">
        <f t="shared" ref="E125:I125" si="16">IF(COUNT(E119:E124)=0,"",SUM(E119:E124))</f>
        <v>198298</v>
      </c>
      <c r="F125" s="8">
        <f t="shared" si="16"/>
        <v>205753</v>
      </c>
      <c r="G125" s="8">
        <f t="shared" si="16"/>
        <v>243686</v>
      </c>
      <c r="H125" s="8">
        <f t="shared" si="16"/>
        <v>275524</v>
      </c>
      <c r="I125" s="9">
        <f t="shared" si="16"/>
        <v>315989</v>
      </c>
      <c r="J125" s="10">
        <f>IF(COUNT(J119:J124)=0,"",SUM(J119:J124))</f>
        <v>356194.42355750996</v>
      </c>
      <c r="K125" s="10">
        <f>IF(COUNT(K119:K124)=0,"",SUM(K119:K124))</f>
        <v>397909.90631490794</v>
      </c>
      <c r="L125" s="10">
        <f>IF(COUNT(L119:L124)=0,"",SUM(L119:L124))</f>
        <v>441047.56053258106</v>
      </c>
      <c r="M125" s="10">
        <f>IF(COUNT(M119:M124)=0,"",SUM(M119:M124))</f>
        <v>483259.2738359521</v>
      </c>
      <c r="N125" s="10">
        <f>IF(COUNT(N119:N124)=0,"",SUM(N119:N124))</f>
        <v>524580.98492732365</v>
      </c>
    </row>
    <row r="126" spans="2:14" x14ac:dyDescent="0.35">
      <c r="B126" s="1" t="s">
        <v>102</v>
      </c>
      <c r="E126" s="2"/>
      <c r="F126" s="2"/>
      <c r="G126" s="2"/>
      <c r="H126" s="2"/>
      <c r="I126" s="2"/>
    </row>
    <row r="127" spans="2:14" x14ac:dyDescent="0.35">
      <c r="B127" s="1" t="s">
        <v>103</v>
      </c>
      <c r="E127" s="2"/>
      <c r="F127" s="2"/>
      <c r="G127" s="2"/>
      <c r="H127" s="2"/>
      <c r="I127" s="2"/>
    </row>
    <row r="128" spans="2:14" x14ac:dyDescent="0.35">
      <c r="B128" s="82" t="s">
        <v>104</v>
      </c>
      <c r="D128" s="87"/>
      <c r="E128" s="88">
        <v>86939</v>
      </c>
      <c r="F128" s="88">
        <v>93718</v>
      </c>
      <c r="G128" s="88">
        <v>100923</v>
      </c>
      <c r="H128" s="88">
        <v>109095</v>
      </c>
      <c r="I128" s="204">
        <v>117406</v>
      </c>
      <c r="J128" s="41">
        <f>'3 statement Model'!J122</f>
        <v>126997.07448000001</v>
      </c>
      <c r="K128" s="41">
        <f>'3 statement Model'!K122</f>
        <v>138287.35428</v>
      </c>
      <c r="L128" s="41">
        <f>'3 statement Model'!L122</f>
        <v>151345.37289627999</v>
      </c>
      <c r="M128" s="41">
        <f>'3 statement Model'!M122</f>
        <v>166204.81213083217</v>
      </c>
      <c r="N128" s="41">
        <f>'3 statement Model'!N122</f>
        <v>182771.7104197985</v>
      </c>
    </row>
    <row r="129" spans="2:14" x14ac:dyDescent="0.35">
      <c r="B129" s="1" t="s">
        <v>105</v>
      </c>
      <c r="D129" s="87"/>
      <c r="E129" s="88">
        <v>84281</v>
      </c>
      <c r="F129" s="88">
        <v>118848</v>
      </c>
      <c r="G129" s="88">
        <v>173144</v>
      </c>
      <c r="H129" s="88">
        <v>237731</v>
      </c>
      <c r="I129" s="204">
        <v>328265</v>
      </c>
      <c r="J129" s="41">
        <f>'3 statement Model'!J123</f>
        <v>425341.10451840004</v>
      </c>
      <c r="K129" s="41">
        <f>'3 statement Model'!K123</f>
        <v>542661.88063637889</v>
      </c>
      <c r="L129" s="41">
        <f>'3 statement Model'!L123</f>
        <v>683704.33753361925</v>
      </c>
      <c r="M129" s="41">
        <f>'3 statement Model'!M123</f>
        <v>850855.5890273992</v>
      </c>
      <c r="N129" s="41">
        <f>'3 statement Model'!N123</f>
        <v>1046656.4549545997</v>
      </c>
    </row>
    <row r="130" spans="2:14" x14ac:dyDescent="0.35">
      <c r="B130" s="1" t="s">
        <v>106</v>
      </c>
      <c r="D130" s="87"/>
      <c r="E130" s="88">
        <v>-4678</v>
      </c>
      <c r="F130" s="88">
        <v>-6343</v>
      </c>
      <c r="G130" s="88">
        <v>-5590</v>
      </c>
      <c r="H130" s="88">
        <v>-3347</v>
      </c>
      <c r="I130" s="204">
        <v>-3284</v>
      </c>
      <c r="J130" s="41">
        <f>'3 statement Model'!J124</f>
        <v>-3284</v>
      </c>
      <c r="K130" s="41">
        <f>'3 statement Model'!K124</f>
        <v>-3284</v>
      </c>
      <c r="L130" s="41">
        <f>'3 statement Model'!L124</f>
        <v>-3284</v>
      </c>
      <c r="M130" s="41">
        <f>'3 statement Model'!M124</f>
        <v>-3284</v>
      </c>
      <c r="N130" s="41">
        <f>'3 statement Model'!N124</f>
        <v>-3284</v>
      </c>
    </row>
    <row r="131" spans="2:14" x14ac:dyDescent="0.35">
      <c r="B131" s="83" t="s">
        <v>107</v>
      </c>
      <c r="C131" s="79"/>
      <c r="D131" s="104"/>
      <c r="E131" s="8">
        <f t="shared" ref="E131:I131" si="17">IF(COUNT(E128:E130)=0,"",SUM(E128:E130))</f>
        <v>166542</v>
      </c>
      <c r="F131" s="8">
        <f t="shared" si="17"/>
        <v>206223</v>
      </c>
      <c r="G131" s="8">
        <f t="shared" si="17"/>
        <v>268477</v>
      </c>
      <c r="H131" s="8">
        <f t="shared" si="17"/>
        <v>343479</v>
      </c>
      <c r="I131" s="9">
        <f t="shared" si="17"/>
        <v>442387</v>
      </c>
      <c r="J131" s="10">
        <f>IF(COUNT(J128:J130)=0,"",SUM(J128:J130))</f>
        <v>549054.17899839999</v>
      </c>
      <c r="K131" s="10">
        <f>IF(COUNT(K128:K130)=0,"",SUM(K128:K130))</f>
        <v>677665.23491637886</v>
      </c>
      <c r="L131" s="10">
        <f>IF(COUNT(L128:L130)=0,"",SUM(L128:L130))</f>
        <v>831765.71042989928</v>
      </c>
      <c r="M131" s="10">
        <f>IF(COUNT(M128:M130)=0,"",SUM(M128:M130))</f>
        <v>1013776.4011582313</v>
      </c>
      <c r="N131" s="10">
        <f>IF(COUNT(N128:N130)=0,"",SUM(N128:N130))</f>
        <v>1226144.1653743982</v>
      </c>
    </row>
    <row r="132" spans="2:14" ht="15" thickBot="1" x14ac:dyDescent="0.4">
      <c r="B132" s="85" t="s">
        <v>108</v>
      </c>
      <c r="C132" s="73"/>
      <c r="D132" s="102"/>
      <c r="E132" s="11">
        <f t="shared" ref="E132:I132" si="18">IF(COUNT(E125,E131)=0,"",SUM(E125,E131))</f>
        <v>364840</v>
      </c>
      <c r="F132" s="11">
        <f t="shared" si="18"/>
        <v>411976</v>
      </c>
      <c r="G132" s="11">
        <f t="shared" si="18"/>
        <v>512163</v>
      </c>
      <c r="H132" s="11">
        <f t="shared" si="18"/>
        <v>619003</v>
      </c>
      <c r="I132" s="12">
        <f t="shared" si="18"/>
        <v>758376</v>
      </c>
      <c r="J132" s="13">
        <f>IF(COUNT(J125,J131)=0,"",SUM(J125,J131))</f>
        <v>905248.60255590989</v>
      </c>
      <c r="K132" s="13">
        <f>IF(COUNT(K125,K131)=0,"",SUM(K125,K131))</f>
        <v>1075575.1412312868</v>
      </c>
      <c r="L132" s="13">
        <f>IF(COUNT(L125,L131)=0,"",SUM(L125,L131))</f>
        <v>1272813.2709624805</v>
      </c>
      <c r="M132" s="13">
        <f>IF(COUNT(M125,M131)=0,"",SUM(M125,M131))</f>
        <v>1497035.6749941835</v>
      </c>
      <c r="N132" s="13">
        <f>IF(COUNT(N125,N131)=0,"",SUM(N125,N131))</f>
        <v>1750725.1503017219</v>
      </c>
    </row>
    <row r="134" spans="2:14" ht="20" x14ac:dyDescent="0.35">
      <c r="B134" s="86" t="s">
        <v>109</v>
      </c>
      <c r="C134" s="86"/>
      <c r="D134" s="86"/>
      <c r="E134" s="86"/>
      <c r="F134" s="86"/>
      <c r="G134" s="86"/>
      <c r="H134" s="86"/>
      <c r="I134" s="86"/>
      <c r="J134" s="86"/>
      <c r="K134" s="86"/>
      <c r="L134" s="86"/>
      <c r="M134" s="86"/>
      <c r="N134" s="8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40988-AE45-488D-8788-8C8EDCC9A564}">
  <dimension ref="B1:N209"/>
  <sheetViews>
    <sheetView showGridLines="0" zoomScale="59" zoomScaleNormal="59" workbookViewId="0">
      <selection activeCell="D5" sqref="D5"/>
    </sheetView>
  </sheetViews>
  <sheetFormatPr defaultRowHeight="14.5" x14ac:dyDescent="0.35"/>
  <cols>
    <col min="1" max="1" width="2.6328125" customWidth="1"/>
    <col min="2" max="2" width="46.36328125" customWidth="1"/>
    <col min="3" max="4" width="2.6328125" customWidth="1"/>
    <col min="5" max="5" width="11.1796875" bestFit="1" customWidth="1"/>
    <col min="6" max="6" width="16.81640625" bestFit="1" customWidth="1"/>
    <col min="7" max="14" width="10.08984375" bestFit="1" customWidth="1"/>
  </cols>
  <sheetData>
    <row r="1" spans="2:14" x14ac:dyDescent="0.35">
      <c r="B1" s="52" t="s">
        <v>110</v>
      </c>
      <c r="C1" s="53"/>
      <c r="D1" s="53"/>
      <c r="E1" s="53"/>
      <c r="F1" s="53"/>
      <c r="G1" s="53"/>
      <c r="H1" s="53"/>
      <c r="I1" s="53"/>
      <c r="J1" s="53"/>
      <c r="K1" s="53"/>
      <c r="L1" s="53"/>
      <c r="M1" s="53"/>
      <c r="N1" s="305" t="str">
        <f>HYPERLINK("#'Cover'!A1","Cover")</f>
        <v>Cover</v>
      </c>
    </row>
    <row r="2" spans="2:14" x14ac:dyDescent="0.35">
      <c r="F2" s="54" t="s">
        <v>1</v>
      </c>
    </row>
    <row r="3" spans="2:14" x14ac:dyDescent="0.35">
      <c r="B3" s="55"/>
    </row>
    <row r="4" spans="2:14" x14ac:dyDescent="0.35">
      <c r="B4" s="56" t="s">
        <v>2</v>
      </c>
      <c r="E4" s="57" t="s">
        <v>3</v>
      </c>
      <c r="F4" s="58"/>
      <c r="G4" s="58"/>
      <c r="H4" s="58"/>
      <c r="I4" s="58" t="s">
        <v>1113</v>
      </c>
      <c r="J4" s="59"/>
      <c r="K4" s="59"/>
      <c r="L4" s="59"/>
      <c r="M4" s="59"/>
      <c r="N4" s="59"/>
    </row>
    <row r="5" spans="2:14" x14ac:dyDescent="0.35">
      <c r="B5" s="60" t="s">
        <v>111</v>
      </c>
      <c r="D5" s="61"/>
      <c r="E5" s="62" t="str">
        <f>(2021+COLUMN()-COLUMN($D$5))&amp;IF(COLUMN()-COLUMN($D$5)&lt;5,"A","E")</f>
        <v>2022A</v>
      </c>
      <c r="F5" s="62" t="str">
        <f>(2021+COLUMN()-COLUMN($D$5))&amp;IF(COLUMN()-COLUMN($D$5)&lt;5,"A","E")</f>
        <v>2023A</v>
      </c>
      <c r="G5" s="62" t="str">
        <f>(2021+COLUMN()-COLUMN($D$5))&amp;IF(COLUMN()-COLUMN($D$5)&lt;5,"A","E")</f>
        <v>2024A</v>
      </c>
      <c r="H5" s="62" t="str">
        <f>(2021+COLUMN()-COLUMN($D$5))&amp;IF(COLUMN()-COLUMN($D$5)&lt;5,"A","E")</f>
        <v>2025A</v>
      </c>
      <c r="I5" s="62" t="s">
        <v>5</v>
      </c>
      <c r="J5" s="63" t="str">
        <f>(2021+COLUMN()-COLUMN($D$5))&amp;IF(COLUMN()-COLUMN($D$5)&lt;5,"A","E")</f>
        <v>2027E</v>
      </c>
      <c r="K5" s="63" t="str">
        <f>(2021+COLUMN()-COLUMN($D$5))&amp;IF(COLUMN()-COLUMN($D$5)&lt;5,"A","E")</f>
        <v>2028E</v>
      </c>
      <c r="L5" s="63" t="str">
        <f>(2021+COLUMN()-COLUMN($D$5))&amp;IF(COLUMN()-COLUMN($D$5)&lt;5,"A","E")</f>
        <v>2029E</v>
      </c>
      <c r="M5" s="63" t="str">
        <f>(2021+COLUMN()-COLUMN($D$5))&amp;IF(COLUMN()-COLUMN($D$5)&lt;5,"A","E")</f>
        <v>2030E</v>
      </c>
      <c r="N5" s="63" t="str">
        <f>(2021+COLUMN()-COLUMN($D$5))&amp;IF(COLUMN()-COLUMN($D$5)&lt;5,"A","E")</f>
        <v>2031E</v>
      </c>
    </row>
    <row r="6" spans="2:14" x14ac:dyDescent="0.35">
      <c r="B6" s="54" t="s">
        <v>6</v>
      </c>
    </row>
    <row r="7" spans="2:14" x14ac:dyDescent="0.35">
      <c r="B7" s="1" t="s">
        <v>7</v>
      </c>
      <c r="D7" s="95"/>
      <c r="E7" s="42">
        <f>IF('Fin Statement'!E7="","",'Fin Statement'!E7/'Fin Statement'!E9)</f>
        <v>0.36683310637010136</v>
      </c>
      <c r="F7" s="42">
        <f>IF('Fin Statement'!F7="","",'Fin Statement'!F7/'Fin Statement'!F9)</f>
        <v>0.30530637283816625</v>
      </c>
      <c r="G7" s="42">
        <f>IF('Fin Statement'!G7="","",'Fin Statement'!G7/'Fin Statement'!G9)</f>
        <v>0.26424800711482443</v>
      </c>
      <c r="H7" s="42">
        <f>IF('Fin Statement'!H7="","",'Fin Statement'!H7/'Fin Statement'!H9)</f>
        <v>0.2269810168817708</v>
      </c>
      <c r="I7" s="43">
        <f>IF('Fin Statement'!I7="","",'Fin Statement'!I7/'Fin Statement'!I9)</f>
        <v>0.19496201471195368</v>
      </c>
      <c r="J7" s="44">
        <f>IF('Fin Statement'!J7="","",'Fin Statement'!J7/'Fin Statement'!J9)</f>
        <v>0.16919232475612583</v>
      </c>
      <c r="K7" s="44">
        <f>IF('Fin Statement'!K7="","",'Fin Statement'!K7/'Fin Statement'!K9)</f>
        <v>0.14623469800431491</v>
      </c>
      <c r="L7" s="44">
        <f>IF('Fin Statement'!L7="","",'Fin Statement'!L7/'Fin Statement'!L9)</f>
        <v>0.12796648016935636</v>
      </c>
      <c r="M7" s="44">
        <f>IF('Fin Statement'!M7="","",'Fin Statement'!M7/'Fin Statement'!M9)</f>
        <v>0.11327547934201437</v>
      </c>
      <c r="N7" s="44">
        <f>IF('Fin Statement'!N7="","",'Fin Statement'!N7/'Fin Statement'!N9)</f>
        <v>0.10174763815356967</v>
      </c>
    </row>
    <row r="8" spans="2:14" x14ac:dyDescent="0.35">
      <c r="B8" s="1" t="s">
        <v>8</v>
      </c>
      <c r="D8" s="95"/>
      <c r="E8" s="42">
        <f>IF('Fin Statement'!E8="","",'Fin Statement'!E8/'Fin Statement'!E9)</f>
        <v>0.63316689362989864</v>
      </c>
      <c r="F8" s="42">
        <f>IF('Fin Statement'!F8="","",'Fin Statement'!F8/'Fin Statement'!F9)</f>
        <v>0.6946936271618338</v>
      </c>
      <c r="G8" s="42">
        <f>IF('Fin Statement'!G8="","",'Fin Statement'!G8/'Fin Statement'!G9)</f>
        <v>0.73575199288517557</v>
      </c>
      <c r="H8" s="42">
        <f>IF('Fin Statement'!H8="","",'Fin Statement'!H8/'Fin Statement'!H9)</f>
        <v>0.77301898311822914</v>
      </c>
      <c r="I8" s="43">
        <f>IF('Fin Statement'!I8="","",'Fin Statement'!I8/'Fin Statement'!I9)</f>
        <v>0.80503798528804626</v>
      </c>
      <c r="J8" s="44">
        <f>IF('Fin Statement'!J8="","",'Fin Statement'!J8/'Fin Statement'!J9)</f>
        <v>0.83080767524387422</v>
      </c>
      <c r="K8" s="44">
        <f>IF('Fin Statement'!K8="","",'Fin Statement'!K8/'Fin Statement'!K9)</f>
        <v>0.85376530199568501</v>
      </c>
      <c r="L8" s="44">
        <f>IF('Fin Statement'!L8="","",'Fin Statement'!L8/'Fin Statement'!L9)</f>
        <v>0.8720335198306437</v>
      </c>
      <c r="M8" s="44">
        <f>IF('Fin Statement'!M8="","",'Fin Statement'!M8/'Fin Statement'!M9)</f>
        <v>0.88672452065798568</v>
      </c>
      <c r="N8" s="44">
        <f>IF('Fin Statement'!N8="","",'Fin Statement'!N8/'Fin Statement'!N9)</f>
        <v>0.89825236184643042</v>
      </c>
    </row>
    <row r="9" spans="2:14" x14ac:dyDescent="0.35">
      <c r="B9" s="65" t="s">
        <v>9</v>
      </c>
      <c r="D9" s="95"/>
      <c r="E9" s="42">
        <f>IF('Fin Statement'!E9="","",'Fin Statement'!E9/'Fin Statement'!E9)</f>
        <v>1</v>
      </c>
      <c r="F9" s="42">
        <f>IF('Fin Statement'!F9="","",'Fin Statement'!F9/'Fin Statement'!F9)</f>
        <v>1</v>
      </c>
      <c r="G9" s="42">
        <f>IF('Fin Statement'!G9="","",'Fin Statement'!G9/'Fin Statement'!G9)</f>
        <v>1</v>
      </c>
      <c r="H9" s="42">
        <f>IF('Fin Statement'!H9="","",'Fin Statement'!H9/'Fin Statement'!H9)</f>
        <v>1</v>
      </c>
      <c r="I9" s="42">
        <f>IF('Fin Statement'!I9="","",'Fin Statement'!I9/'Fin Statement'!I9)</f>
        <v>1</v>
      </c>
      <c r="J9" s="44">
        <f>IF('Fin Statement'!J9="","",'Fin Statement'!J9/'Fin Statement'!J9)</f>
        <v>1</v>
      </c>
      <c r="K9" s="44">
        <f>IF('Fin Statement'!K9="","",'Fin Statement'!K9/'Fin Statement'!K9)</f>
        <v>1</v>
      </c>
      <c r="L9" s="44">
        <f>IF('Fin Statement'!L9="","",'Fin Statement'!L9/'Fin Statement'!L9)</f>
        <v>1</v>
      </c>
      <c r="M9" s="44">
        <f>IF('Fin Statement'!M9="","",'Fin Statement'!M9/'Fin Statement'!M9)</f>
        <v>1</v>
      </c>
      <c r="N9" s="44">
        <f>IF('Fin Statement'!N9="","",'Fin Statement'!N9/'Fin Statement'!N9)</f>
        <v>1</v>
      </c>
    </row>
    <row r="10" spans="2:14" x14ac:dyDescent="0.35">
      <c r="B10" s="54" t="s">
        <v>10</v>
      </c>
      <c r="E10" s="2"/>
      <c r="F10" s="2"/>
      <c r="G10" s="2"/>
      <c r="H10" s="2"/>
      <c r="I10" s="2"/>
    </row>
    <row r="11" spans="2:14" x14ac:dyDescent="0.35">
      <c r="B11" s="1" t="s">
        <v>7</v>
      </c>
      <c r="D11" s="95"/>
      <c r="E11" s="42">
        <f>IF('Fin Statement'!E11="","",'Fin Statement'!E11/'Fin Statement'!E9)</f>
        <v>9.6151712311494428E-2</v>
      </c>
      <c r="F11" s="42">
        <f>IF('Fin Statement'!F11="","",'Fin Statement'!F11/'Fin Statement'!F9)</f>
        <v>8.4014817261637925E-2</v>
      </c>
      <c r="G11" s="42">
        <f>IF('Fin Statement'!G11="","",'Fin Statement'!G11/'Fin Statement'!G9)</f>
        <v>6.230366919329966E-2</v>
      </c>
      <c r="H11" s="42">
        <f>IF('Fin Statement'!H11="","",'Fin Statement'!H11/'Fin Statement'!H9)</f>
        <v>4.792278968068038E-2</v>
      </c>
      <c r="I11" s="43">
        <f>IF('Fin Statement'!I11="","",'Fin Statement'!I11/'Fin Statement'!I9)</f>
        <v>3.6457438697681706E-2</v>
      </c>
      <c r="J11" s="44">
        <f>IF('Fin Statement'!J11="","",'Fin Statement'!J11/'Fin Statement'!J9)</f>
        <v>3.1638567220533112E-2</v>
      </c>
      <c r="K11" s="44">
        <f>IF('Fin Statement'!K11="","",'Fin Statement'!K11/'Fin Statement'!K9)</f>
        <v>2.7345544955734536E-2</v>
      </c>
      <c r="L11" s="44">
        <f>IF('Fin Statement'!L11="","",'Fin Statement'!L11/'Fin Statement'!L9)</f>
        <v>2.3929431140856824E-2</v>
      </c>
      <c r="M11" s="44">
        <f>IF('Fin Statement'!M11="","",'Fin Statement'!M11/'Fin Statement'!M9)</f>
        <v>2.118224850191186E-2</v>
      </c>
      <c r="N11" s="44">
        <f>IF('Fin Statement'!N11="","",'Fin Statement'!N11/'Fin Statement'!N9)</f>
        <v>1.9026569283756116E-2</v>
      </c>
    </row>
    <row r="12" spans="2:14" x14ac:dyDescent="0.35">
      <c r="B12" s="1" t="s">
        <v>8</v>
      </c>
      <c r="D12" s="95"/>
      <c r="E12" s="42">
        <f>IF('Fin Statement'!E12="","",'Fin Statement'!E12/'Fin Statement'!E9)</f>
        <v>0.21983154284561457</v>
      </c>
      <c r="F12" s="42">
        <f>IF('Fin Statement'!F12="","",'Fin Statement'!F12/'Fin Statement'!F9)</f>
        <v>0.22678432390345185</v>
      </c>
      <c r="G12" s="42">
        <f>IF('Fin Statement'!G12="","",'Fin Statement'!G12/'Fin Statement'!G9)</f>
        <v>0.24005189252698655</v>
      </c>
      <c r="H12" s="42">
        <f>IF('Fin Statement'!H12="","",'Fin Statement'!H12/'Fin Statement'!H9)</f>
        <v>0.26383978645766781</v>
      </c>
      <c r="I12" s="43">
        <f>IF('Fin Statement'!I12="","",'Fin Statement'!I12/'Fin Statement'!I9)</f>
        <v>0.28410162759651519</v>
      </c>
      <c r="J12" s="44">
        <f>IF('Fin Statement'!J12="","",'Fin Statement'!J12/'Fin Statement'!J9)</f>
        <v>0.31236143277946687</v>
      </c>
      <c r="K12" s="44">
        <f>IF('Fin Statement'!K12="","",'Fin Statement'!K12/'Fin Statement'!K9)</f>
        <v>0.31665445504426543</v>
      </c>
      <c r="L12" s="44">
        <f>IF('Fin Statement'!L12="","",'Fin Statement'!L12/'Fin Statement'!L9)</f>
        <v>0.31807056885914314</v>
      </c>
      <c r="M12" s="44">
        <f>IF('Fin Statement'!M12="","",'Fin Statement'!M12/'Fin Statement'!M9)</f>
        <v>0.31881775149808811</v>
      </c>
      <c r="N12" s="44">
        <f>IF('Fin Statement'!N12="","",'Fin Statement'!N12/'Fin Statement'!N9)</f>
        <v>0.31897343071624384</v>
      </c>
    </row>
    <row r="13" spans="2:14" x14ac:dyDescent="0.35">
      <c r="B13" s="65" t="s">
        <v>11</v>
      </c>
      <c r="D13" s="95"/>
      <c r="E13" s="42">
        <f>IF('Fin Statement'!E13="","",'Fin Statement'!E13/'Fin Statement'!E9)</f>
        <v>0.31598325515710901</v>
      </c>
      <c r="F13" s="42">
        <f>IF('Fin Statement'!F13="","",'Fin Statement'!F13/'Fin Statement'!F9)</f>
        <v>0.31079914116508978</v>
      </c>
      <c r="G13" s="42">
        <f>IF('Fin Statement'!G13="","",'Fin Statement'!G13/'Fin Statement'!G9)</f>
        <v>0.30235556172028621</v>
      </c>
      <c r="H13" s="42">
        <f>IF('Fin Statement'!H13="","",'Fin Statement'!H13/'Fin Statement'!H9)</f>
        <v>0.31176257613834818</v>
      </c>
      <c r="I13" s="42">
        <f>IF('Fin Statement'!I13="","",'Fin Statement'!I13/'Fin Statement'!I9)</f>
        <v>0.32055906629419689</v>
      </c>
      <c r="J13" s="44">
        <f>IF('Fin Statement'!J13="","",'Fin Statement'!J13/'Fin Statement'!J9)</f>
        <v>0.34399999999999997</v>
      </c>
      <c r="K13" s="44">
        <f>IF('Fin Statement'!K13="","",'Fin Statement'!K13/'Fin Statement'!K9)</f>
        <v>0.34399999999999997</v>
      </c>
      <c r="L13" s="44">
        <f>IF('Fin Statement'!L13="","",'Fin Statement'!L13/'Fin Statement'!L9)</f>
        <v>0.34199999999999997</v>
      </c>
      <c r="M13" s="44">
        <f>IF('Fin Statement'!M13="","",'Fin Statement'!M13/'Fin Statement'!M9)</f>
        <v>0.33999999999999997</v>
      </c>
      <c r="N13" s="44">
        <f>IF('Fin Statement'!N13="","",'Fin Statement'!N13/'Fin Statement'!N9)</f>
        <v>0.33799999999999997</v>
      </c>
    </row>
    <row r="14" spans="2:14" x14ac:dyDescent="0.35">
      <c r="B14" s="54" t="s">
        <v>12</v>
      </c>
      <c r="D14" s="95"/>
      <c r="E14" s="42">
        <f>IF('Fin Statement'!E15="","",'Fin Statement'!E15/'Fin Statement'!E9)</f>
        <v>0.68401674484289099</v>
      </c>
      <c r="F14" s="42">
        <f>IF('Fin Statement'!F15="","",'Fin Statement'!F15/'Fin Statement'!F9)</f>
        <v>0.68920085883491022</v>
      </c>
      <c r="G14" s="42">
        <f>IF('Fin Statement'!G15="","",'Fin Statement'!G15/'Fin Statement'!G9)</f>
        <v>0.69764443827971379</v>
      </c>
      <c r="H14" s="42">
        <f>IF('Fin Statement'!H15="","",'Fin Statement'!H15/'Fin Statement'!H9)</f>
        <v>0.68823742386165188</v>
      </c>
      <c r="I14" s="42">
        <f>IF('Fin Statement'!I15="","",'Fin Statement'!I15/'Fin Statement'!I9)</f>
        <v>0.67944093370580316</v>
      </c>
      <c r="J14" s="44">
        <f>IF('Fin Statement'!J15="","",'Fin Statement'!J15/'Fin Statement'!J9)</f>
        <v>0.65600000000000003</v>
      </c>
      <c r="K14" s="44">
        <f>IF('Fin Statement'!K15="","",'Fin Statement'!K15/'Fin Statement'!K9)</f>
        <v>0.65600000000000003</v>
      </c>
      <c r="L14" s="44">
        <f>IF('Fin Statement'!L15="","",'Fin Statement'!L15/'Fin Statement'!L9)</f>
        <v>0.65800000000000003</v>
      </c>
      <c r="M14" s="44">
        <f>IF('Fin Statement'!M15="","",'Fin Statement'!M15/'Fin Statement'!M9)</f>
        <v>0.66</v>
      </c>
      <c r="N14" s="44">
        <f>IF('Fin Statement'!N15="","",'Fin Statement'!N15/'Fin Statement'!N9)</f>
        <v>0.66200000000000003</v>
      </c>
    </row>
    <row r="15" spans="2:14" x14ac:dyDescent="0.35">
      <c r="B15" s="1" t="s">
        <v>13</v>
      </c>
      <c r="D15" s="95"/>
      <c r="E15" s="42">
        <f>IF('Fin Statement'!E17="","",'Fin Statement'!E17/'Fin Statement'!E9)</f>
        <v>0.12362939426035205</v>
      </c>
      <c r="F15" s="42">
        <f>IF('Fin Statement'!F17="","",'Fin Statement'!F17/'Fin Statement'!F9)</f>
        <v>0.12832975485454073</v>
      </c>
      <c r="G15" s="42">
        <f>IF('Fin Statement'!G17="","",'Fin Statement'!G17/'Fin Statement'!G9)</f>
        <v>0.12038903076835208</v>
      </c>
      <c r="H15" s="42">
        <f>IF('Fin Statement'!H17="","",'Fin Statement'!H17/'Fin Statement'!H9)</f>
        <v>0.11531853871164686</v>
      </c>
      <c r="I15" s="43">
        <f>IF('Fin Statement'!I17="","",'Fin Statement'!I17/'Fin Statement'!I9)</f>
        <v>0.10716642709265638</v>
      </c>
      <c r="J15" s="44">
        <f>IF('Fin Statement'!J17="","",'Fin Statement'!J17/'Fin Statement'!J9)</f>
        <v>9.9000000000000019E-2</v>
      </c>
      <c r="K15" s="44">
        <f>IF('Fin Statement'!K17="","",'Fin Statement'!K17/'Fin Statement'!K9)</f>
        <v>9.8000000000000004E-2</v>
      </c>
      <c r="L15" s="44">
        <f>IF('Fin Statement'!L17="","",'Fin Statement'!L17/'Fin Statement'!L9)</f>
        <v>9.7000000000000003E-2</v>
      </c>
      <c r="M15" s="44">
        <f>IF('Fin Statement'!M17="","",'Fin Statement'!M17/'Fin Statement'!M9)</f>
        <v>9.6000000000000002E-2</v>
      </c>
      <c r="N15" s="44">
        <f>IF('Fin Statement'!N17="","",'Fin Statement'!N17/'Fin Statement'!N9)</f>
        <v>9.4000000000000014E-2</v>
      </c>
    </row>
    <row r="16" spans="2:14" x14ac:dyDescent="0.35">
      <c r="B16" s="1" t="s">
        <v>14</v>
      </c>
      <c r="D16" s="95"/>
      <c r="E16" s="42">
        <f>IF('Fin Statement'!E18="","",'Fin Statement'!E18/'Fin Statement'!E9)</f>
        <v>0.11007716749886519</v>
      </c>
      <c r="F16" s="42">
        <f>IF('Fin Statement'!F18="","",'Fin Statement'!F18/'Fin Statement'!F9)</f>
        <v>0.10739683363612769</v>
      </c>
      <c r="G16" s="42">
        <f>IF('Fin Statement'!G18="","",'Fin Statement'!G18/'Fin Statement'!G9)</f>
        <v>9.9770726413785787E-2</v>
      </c>
      <c r="H16" s="42">
        <f>IF('Fin Statement'!H18="","",'Fin Statement'!H18/'Fin Statement'!H9)</f>
        <v>9.1060754497309424E-2</v>
      </c>
      <c r="I16" s="43">
        <f>IF('Fin Statement'!I18="","",'Fin Statement'!I18/'Fin Statement'!I9)</f>
        <v>8.0490840437682135E-2</v>
      </c>
      <c r="J16" s="44">
        <f>IF('Fin Statement'!J18="","",'Fin Statement'!J18/'Fin Statement'!J9)</f>
        <v>7.1999999999999995E-2</v>
      </c>
      <c r="K16" s="44">
        <f>IF('Fin Statement'!K18="","",'Fin Statement'!K18/'Fin Statement'!K9)</f>
        <v>7.0999999999999994E-2</v>
      </c>
      <c r="L16" s="44">
        <f>IF('Fin Statement'!L18="","",'Fin Statement'!L18/'Fin Statement'!L9)</f>
        <v>7.0000000000000007E-2</v>
      </c>
      <c r="M16" s="44">
        <f>IF('Fin Statement'!M18="","",'Fin Statement'!M18/'Fin Statement'!M9)</f>
        <v>6.9000000000000006E-2</v>
      </c>
      <c r="N16" s="44">
        <f>IF('Fin Statement'!N18="","",'Fin Statement'!N18/'Fin Statement'!N9)</f>
        <v>6.7000000000000004E-2</v>
      </c>
    </row>
    <row r="17" spans="2:14" x14ac:dyDescent="0.35">
      <c r="B17" s="1" t="s">
        <v>15</v>
      </c>
      <c r="D17" s="95"/>
      <c r="E17" s="42">
        <f>IF('Fin Statement'!E19="","",'Fin Statement'!E19/'Fin Statement'!E9)</f>
        <v>2.9757401523175468E-2</v>
      </c>
      <c r="F17" s="42">
        <f>IF('Fin Statement'!F19="","",'Fin Statement'!F19/'Fin Statement'!F9)</f>
        <v>3.5745463983200811E-2</v>
      </c>
      <c r="G17" s="42">
        <f>IF('Fin Statement'!G19="","",'Fin Statement'!G19/'Fin Statement'!G9)</f>
        <v>3.1041685364838735E-2</v>
      </c>
      <c r="H17" s="42">
        <f>IF('Fin Statement'!H19="","",'Fin Statement'!H19/'Fin Statement'!H9)</f>
        <v>2.5638568244097059E-2</v>
      </c>
      <c r="I17" s="43">
        <f>IF('Fin Statement'!I19="","",'Fin Statement'!I19/'Fin Statement'!I9)</f>
        <v>2.39754820861924E-2</v>
      </c>
      <c r="J17" s="44">
        <f>IF('Fin Statement'!J19="","",'Fin Statement'!J19/'Fin Statement'!J9)</f>
        <v>2.1000000000000001E-2</v>
      </c>
      <c r="K17" s="44">
        <f>IF('Fin Statement'!K19="","",'Fin Statement'!K19/'Fin Statement'!K9)</f>
        <v>2.1000000000000001E-2</v>
      </c>
      <c r="L17" s="44">
        <f>IF('Fin Statement'!L19="","",'Fin Statement'!L19/'Fin Statement'!L9)</f>
        <v>0.02</v>
      </c>
      <c r="M17" s="44">
        <f>IF('Fin Statement'!M19="","",'Fin Statement'!M19/'Fin Statement'!M9)</f>
        <v>0.02</v>
      </c>
      <c r="N17" s="44">
        <f>IF('Fin Statement'!N19="","",'Fin Statement'!N19/'Fin Statement'!N9)</f>
        <v>0.02</v>
      </c>
    </row>
    <row r="18" spans="2:14" x14ac:dyDescent="0.35">
      <c r="B18" s="55" t="s">
        <v>16</v>
      </c>
      <c r="D18" s="95"/>
      <c r="E18" s="42">
        <f>IF('Fin Statement'!E20="","",'Fin Statement'!E20/'Fin Statement'!E9)</f>
        <v>0.49348363342916224</v>
      </c>
      <c r="F18" s="42">
        <f>IF('Fin Statement'!F20="","",'Fin Statement'!F20/'Fin Statement'!F9)</f>
        <v>0.48313710685888211</v>
      </c>
      <c r="G18" s="42">
        <f>IF('Fin Statement'!G20="","",'Fin Statement'!G20/'Fin Statement'!G9)</f>
        <v>0.5319432772252185</v>
      </c>
      <c r="H18" s="42">
        <f>IF('Fin Statement'!H20="","",'Fin Statement'!H20/'Fin Statement'!H9)</f>
        <v>0.56069415456262162</v>
      </c>
      <c r="I18" s="42">
        <f>IF('Fin Statement'!I20="","",'Fin Statement'!I20/'Fin Statement'!I9)</f>
        <v>0.58393076160427193</v>
      </c>
      <c r="J18" s="44">
        <f>IF('Fin Statement'!J20="","",'Fin Statement'!J20/'Fin Statement'!J9)</f>
        <v>0.60169969538678469</v>
      </c>
      <c r="K18" s="44">
        <f>IF('Fin Statement'!K20="","",'Fin Statement'!K20/'Fin Statement'!K9)</f>
        <v>0.61229428536264074</v>
      </c>
      <c r="L18" s="44">
        <f>IF('Fin Statement'!L20="","",'Fin Statement'!L20/'Fin Statement'!L9)</f>
        <v>0.6233504178997743</v>
      </c>
      <c r="M18" s="44">
        <f>IF('Fin Statement'!M20="","",'Fin Statement'!M20/'Fin Statement'!M9)</f>
        <v>0.63013952850832267</v>
      </c>
      <c r="N18" s="44">
        <f>IF('Fin Statement'!N20="","",'Fin Statement'!N20/'Fin Statement'!N9)</f>
        <v>0.63853933392604634</v>
      </c>
    </row>
    <row r="19" spans="2:14" x14ac:dyDescent="0.35">
      <c r="B19" s="1" t="s">
        <v>112</v>
      </c>
      <c r="D19" s="95"/>
      <c r="E19" s="42">
        <f>IF('Fin Statement'!E21="","",'Fin Statement'!E21/'Fin Statement'!E9)</f>
        <v>7.2930851868663937E-2</v>
      </c>
      <c r="F19" s="42">
        <f>IF('Fin Statement'!F21="","",'Fin Statement'!F21/'Fin Statement'!F9)</f>
        <v>6.5408300497841118E-2</v>
      </c>
      <c r="G19" s="42">
        <f>IF('Fin Statement'!G21="","",'Fin Statement'!G21/'Fin Statement'!G9)</f>
        <v>8.5500281492481289E-2</v>
      </c>
      <c r="H19" s="42">
        <f>IF('Fin Statement'!H21="","",'Fin Statement'!H21/'Fin Statement'!H9)</f>
        <v>0.10447459215402309</v>
      </c>
      <c r="I19" s="43">
        <f>IF('Fin Statement'!I21="","",'Fin Statement'!I21/'Fin Statement'!I9)</f>
        <v>0.11612257751499974</v>
      </c>
      <c r="J19" s="44">
        <f>IF('Fin Statement'!J21="","",'Fin Statement'!J21/'Fin Statement'!J9)</f>
        <v>0.13769969538678453</v>
      </c>
      <c r="K19" s="44">
        <f>IF('Fin Statement'!K21="","",'Fin Statement'!K21/'Fin Statement'!K9)</f>
        <v>0.14629428536264064</v>
      </c>
      <c r="L19" s="44">
        <f>IF('Fin Statement'!L21="","",'Fin Statement'!L21/'Fin Statement'!L9)</f>
        <v>0.1523504178997743</v>
      </c>
      <c r="M19" s="44">
        <f>IF('Fin Statement'!M21="","",'Fin Statement'!M21/'Fin Statement'!M9)</f>
        <v>0.1551395285083226</v>
      </c>
      <c r="N19" s="44">
        <f>IF('Fin Statement'!N21="","",'Fin Statement'!N21/'Fin Statement'!N9)</f>
        <v>0.15753933392604624</v>
      </c>
    </row>
    <row r="20" spans="2:14" x14ac:dyDescent="0.35">
      <c r="B20" s="54" t="s">
        <v>18</v>
      </c>
      <c r="D20" s="95"/>
      <c r="E20" s="42">
        <f>IF('Fin Statement'!E22="","",'Fin Statement'!E22/'Fin Statement'!E9)</f>
        <v>0.4205527815604983</v>
      </c>
      <c r="F20" s="42">
        <f>IF('Fin Statement'!F22="","",'Fin Statement'!F22/'Fin Statement'!F9)</f>
        <v>0.41772880636104098</v>
      </c>
      <c r="G20" s="42">
        <f>IF('Fin Statement'!G22="","",'Fin Statement'!G22/'Fin Statement'!G9)</f>
        <v>0.44644299573273716</v>
      </c>
      <c r="H20" s="42">
        <f>IF('Fin Statement'!H22="","",'Fin Statement'!H22/'Fin Statement'!H9)</f>
        <v>0.45621956240859851</v>
      </c>
      <c r="I20" s="42">
        <f>IF('Fin Statement'!I22="","",'Fin Statement'!I22/'Fin Statement'!I9)</f>
        <v>0.46780818408927222</v>
      </c>
      <c r="J20" s="44">
        <f>IF('Fin Statement'!J22="","",'Fin Statement'!J22/'Fin Statement'!J9)</f>
        <v>0.46400000000000013</v>
      </c>
      <c r="K20" s="44">
        <f>IF('Fin Statement'!K22="","",'Fin Statement'!K22/'Fin Statement'!K9)</f>
        <v>0.46600000000000008</v>
      </c>
      <c r="L20" s="44">
        <f>IF('Fin Statement'!L22="","",'Fin Statement'!L22/'Fin Statement'!L9)</f>
        <v>0.47100000000000003</v>
      </c>
      <c r="M20" s="44">
        <f>IF('Fin Statement'!M22="","",'Fin Statement'!M22/'Fin Statement'!M9)</f>
        <v>0.47500000000000014</v>
      </c>
      <c r="N20" s="44">
        <f>IF('Fin Statement'!N22="","",'Fin Statement'!N22/'Fin Statement'!N9)</f>
        <v>0.48100000000000004</v>
      </c>
    </row>
    <row r="21" spans="2:14" x14ac:dyDescent="0.35">
      <c r="B21" s="1" t="s">
        <v>19</v>
      </c>
      <c r="D21" s="95"/>
      <c r="E21" s="42">
        <f>IFERROR('Fin Statement'!E23/'Fin Statement'!E9,"")</f>
        <v>1.0561355727038887E-2</v>
      </c>
      <c r="F21" s="42">
        <f>IFERROR('Fin Statement'!F23/'Fin Statement'!F9,"")</f>
        <v>1.4128306160488876E-2</v>
      </c>
      <c r="G21" s="42">
        <f>IFERROR('Fin Statement'!G23/'Fin Statement'!G9,"")</f>
        <v>1.2879300919542105E-2</v>
      </c>
      <c r="H21" s="42">
        <f>IFERROR('Fin Statement'!H23/'Fin Statement'!H9,"")</f>
        <v>9.3957206343797482E-3</v>
      </c>
      <c r="I21" s="43">
        <f>IFERROR('Fin Statement'!I23/'Fin Statement'!I9,"")</f>
        <v>8.4071634782571531E-3</v>
      </c>
      <c r="J21" s="44">
        <f>IFERROR('Fin Statement'!J23/'Fin Statement'!J9,"")</f>
        <v>6.8956532057202714E-3</v>
      </c>
      <c r="K21" s="44">
        <f>IFERROR('Fin Statement'!K23/'Fin Statement'!K9,"")</f>
        <v>7.641485696959157E-3</v>
      </c>
      <c r="L21" s="44">
        <f>IFERROR('Fin Statement'!L23/'Fin Statement'!L9,"")</f>
        <v>9.469578066540911E-3</v>
      </c>
      <c r="M21" s="44">
        <f>IFERROR('Fin Statement'!M23/'Fin Statement'!M9,"")</f>
        <v>1.230966556831828E-2</v>
      </c>
      <c r="N21" s="44">
        <f>IFERROR('Fin Statement'!N23/'Fin Statement'!N9,"")</f>
        <v>1.5665839720830334E-2</v>
      </c>
    </row>
    <row r="22" spans="2:14" x14ac:dyDescent="0.35">
      <c r="B22" s="1" t="s">
        <v>20</v>
      </c>
      <c r="D22" s="95"/>
      <c r="E22" s="42">
        <f>IFERROR('Fin Statement'!E24/'Fin Statement'!E9,"")</f>
        <v>-1.0405003278357795E-2</v>
      </c>
      <c r="F22" s="42">
        <f>IFERROR('Fin Statement'!F24/'Fin Statement'!F9,"")</f>
        <v>-9.286742325932568E-3</v>
      </c>
      <c r="G22" s="42">
        <f>IFERROR('Fin Statement'!G24/'Fin Statement'!G9,"")</f>
        <v>-1.1973629457984188E-2</v>
      </c>
      <c r="H22" s="42">
        <f>IFERROR('Fin Statement'!H24/'Fin Statement'!H9,"")</f>
        <v>-8.465732418963241E-3</v>
      </c>
      <c r="I22" s="43">
        <f>IFERROR('Fin Statement'!I24/'Fin Statement'!I9,"")</f>
        <v>-9.1942176778497999E-3</v>
      </c>
      <c r="J22" s="44">
        <f>IFERROR('Fin Statement'!J24/'Fin Statement'!J9,"")</f>
        <v>-1.3253029184698655E-2</v>
      </c>
      <c r="K22" s="44">
        <f>IFERROR('Fin Statement'!K24/'Fin Statement'!K9,"")</f>
        <v>-1.1833130678336523E-2</v>
      </c>
      <c r="L22" s="44">
        <f>IFERROR('Fin Statement'!L24/'Fin Statement'!L9,"")</f>
        <v>-1.0647812424071652E-2</v>
      </c>
      <c r="M22" s="44">
        <f>IFERROR('Fin Statement'!M24/'Fin Statement'!M9,"")</f>
        <v>-9.6489571369132183E-3</v>
      </c>
      <c r="N22" s="44">
        <f>IFERROR('Fin Statement'!N24/'Fin Statement'!N9,"")</f>
        <v>-8.7910923812466284E-3</v>
      </c>
    </row>
    <row r="23" spans="2:14" x14ac:dyDescent="0.35">
      <c r="B23" s="1" t="s">
        <v>21</v>
      </c>
      <c r="D23" s="95"/>
      <c r="E23" s="42">
        <f>IFERROR('Fin Statement'!E25/'Fin Statement'!E9,"")</f>
        <v>1.5231754677964393E-3</v>
      </c>
      <c r="F23" s="42">
        <f>IFERROR('Fin Statement'!F25/'Fin Statement'!F9,"")</f>
        <v>-1.1230918056768045E-3</v>
      </c>
      <c r="G23" s="42">
        <f>IFERROR('Fin Statement'!G25/'Fin Statement'!G9,"")</f>
        <v>-7.620695000856716E-3</v>
      </c>
      <c r="H23" s="42">
        <f>IFERROR('Fin Statement'!H25/'Fin Statement'!H9,"")</f>
        <v>-1.8326447161051241E-2</v>
      </c>
      <c r="I23" s="43">
        <f>IFERROR('Fin Statement'!I25/'Fin Statement'!I9,"")</f>
        <v>3.3022565998989346E-2</v>
      </c>
      <c r="J23" s="44">
        <f>IFERROR('Fin Statement'!J25/'Fin Statement'!J9,"")</f>
        <v>0</v>
      </c>
      <c r="K23" s="44">
        <f>IFERROR('Fin Statement'!K25/'Fin Statement'!K9,"")</f>
        <v>0</v>
      </c>
      <c r="L23" s="44">
        <f>IFERROR('Fin Statement'!L25/'Fin Statement'!L9,"")</f>
        <v>0</v>
      </c>
      <c r="M23" s="44">
        <f>IFERROR('Fin Statement'!M25/'Fin Statement'!M9,"")</f>
        <v>0</v>
      </c>
      <c r="N23" s="44">
        <f>IFERROR('Fin Statement'!N25/'Fin Statement'!N9,"")</f>
        <v>0</v>
      </c>
    </row>
    <row r="24" spans="2:14" x14ac:dyDescent="0.35">
      <c r="B24" s="1" t="s">
        <v>22</v>
      </c>
      <c r="D24" s="95"/>
      <c r="E24" s="42">
        <f>IF('Fin Statement'!E26="","",'Fin Statement'!E26/'Fin Statement'!E9)</f>
        <v>1.6795279164775307E-3</v>
      </c>
      <c r="F24" s="42">
        <f>IF('Fin Statement'!F26="","",'Fin Statement'!F26/'Fin Statement'!F9)</f>
        <v>3.7184720288795034E-3</v>
      </c>
      <c r="G24" s="42">
        <f>IF('Fin Statement'!G26="","",'Fin Statement'!G26/'Fin Statement'!G9)</f>
        <v>-6.715023539298798E-3</v>
      </c>
      <c r="H24" s="42">
        <f>IF('Fin Statement'!H26="","",'Fin Statement'!H26/'Fin Statement'!H9)</f>
        <v>-1.7396458945634734E-2</v>
      </c>
      <c r="I24" s="43">
        <f>IF('Fin Statement'!I26="","",'Fin Statement'!I26/'Fin Statement'!I9)</f>
        <v>3.2235511799396696E-2</v>
      </c>
      <c r="J24" s="44">
        <f>IF('Fin Statement'!J26="","",'Fin Statement'!J26/'Fin Statement'!J9)</f>
        <v>-6.3573759789783846E-3</v>
      </c>
      <c r="K24" s="44">
        <f>IF('Fin Statement'!K26="","",'Fin Statement'!K26/'Fin Statement'!K9)</f>
        <v>-4.1916449813773661E-3</v>
      </c>
      <c r="L24" s="44">
        <f>IF('Fin Statement'!L26="","",'Fin Statement'!L26/'Fin Statement'!L9)</f>
        <v>-1.1782343575307416E-3</v>
      </c>
      <c r="M24" s="44">
        <f>IF('Fin Statement'!M26="","",'Fin Statement'!M26/'Fin Statement'!M9)</f>
        <v>2.6607084314050622E-3</v>
      </c>
      <c r="N24" s="44">
        <f>IF('Fin Statement'!N26="","",'Fin Statement'!N26/'Fin Statement'!N9)</f>
        <v>6.8747473395837054E-3</v>
      </c>
    </row>
    <row r="25" spans="2:14" x14ac:dyDescent="0.35">
      <c r="B25" s="54" t="s">
        <v>23</v>
      </c>
      <c r="D25" s="95"/>
      <c r="E25" s="42">
        <f>IF('Fin Statement'!E27="","",'Fin Statement'!E27/'Fin Statement'!E9)</f>
        <v>0.42223230947697582</v>
      </c>
      <c r="F25" s="42">
        <f>IF('Fin Statement'!F27="","",'Fin Statement'!F27/'Fin Statement'!F9)</f>
        <v>0.42144727838992047</v>
      </c>
      <c r="G25" s="42">
        <f>IF('Fin Statement'!G27="","",'Fin Statement'!G27/'Fin Statement'!G9)</f>
        <v>0.43972797219343834</v>
      </c>
      <c r="H25" s="42">
        <f>IF('Fin Statement'!H27="","",'Fin Statement'!H27/'Fin Statement'!H9)</f>
        <v>0.43882310346296377</v>
      </c>
      <c r="I25" s="42">
        <f>IF('Fin Statement'!I27="","",'Fin Statement'!I27/'Fin Statement'!I9)</f>
        <v>0.50004369588866893</v>
      </c>
      <c r="J25" s="44">
        <f>IF('Fin Statement'!J27="","",'Fin Statement'!J27/'Fin Statement'!J9)</f>
        <v>0.45764262402102174</v>
      </c>
      <c r="K25" s="44">
        <f>IF('Fin Statement'!K27="","",'Fin Statement'!K27/'Fin Statement'!K9)</f>
        <v>0.46180835501862277</v>
      </c>
      <c r="L25" s="44">
        <f>IF('Fin Statement'!L27="","",'Fin Statement'!L27/'Fin Statement'!L9)</f>
        <v>0.4698217656424693</v>
      </c>
      <c r="M25" s="44">
        <f>IF('Fin Statement'!M27="","",'Fin Statement'!M27/'Fin Statement'!M9)</f>
        <v>0.47766070843140512</v>
      </c>
      <c r="N25" s="44">
        <f>IF('Fin Statement'!N27="","",'Fin Statement'!N27/'Fin Statement'!N9)</f>
        <v>0.48787474733958369</v>
      </c>
    </row>
    <row r="26" spans="2:14" x14ac:dyDescent="0.35">
      <c r="B26" s="1" t="s">
        <v>24</v>
      </c>
      <c r="D26" s="95"/>
      <c r="E26" s="42">
        <f>IF('Fin Statement'!E28="","",'Fin Statement'!E28/'Fin Statement'!E9)</f>
        <v>5.5368941342613609E-2</v>
      </c>
      <c r="F26" s="42">
        <f>IF('Fin Statement'!F28="","",'Fin Statement'!F28/'Fin Statement'!F9)</f>
        <v>7.9984899605974089E-2</v>
      </c>
      <c r="G26" s="42">
        <f>IF('Fin Statement'!G28="","",'Fin Statement'!G28/'Fin Statement'!G9)</f>
        <v>8.0168242752588506E-2</v>
      </c>
      <c r="H26" s="42">
        <f>IF('Fin Statement'!H28="","",'Fin Statement'!H28/'Fin Statement'!H9)</f>
        <v>7.7362950973293015E-2</v>
      </c>
      <c r="I26" s="43">
        <f>IF('Fin Statement'!I28="","",'Fin Statement'!I28/'Fin Statement'!I9)</f>
        <v>9.6989805297147111E-2</v>
      </c>
      <c r="J26" s="44">
        <f>IF('Fin Statement'!J28="","",'Fin Statement'!J28/'Fin Statement'!J9)</f>
        <v>9.1528524804204342E-2</v>
      </c>
      <c r="K26" s="44">
        <f>IF('Fin Statement'!K28="","",'Fin Statement'!K28/'Fin Statement'!K9)</f>
        <v>9.2361671003724555E-2</v>
      </c>
      <c r="L26" s="44">
        <f>IF('Fin Statement'!L28="","",'Fin Statement'!L28/'Fin Statement'!L9)</f>
        <v>9.3964353128493855E-2</v>
      </c>
      <c r="M26" s="44">
        <f>IF('Fin Statement'!M28="","",'Fin Statement'!M28/'Fin Statement'!M9)</f>
        <v>9.5532141686281033E-2</v>
      </c>
      <c r="N26" s="44">
        <f>IF('Fin Statement'!N28="","",'Fin Statement'!N28/'Fin Statement'!N9)</f>
        <v>9.7574949467916741E-2</v>
      </c>
    </row>
    <row r="27" spans="2:14" x14ac:dyDescent="0.35">
      <c r="B27" s="54" t="s">
        <v>25</v>
      </c>
      <c r="D27" s="95"/>
      <c r="E27" s="42">
        <f>IF('Fin Statement'!E29="","",'Fin Statement'!E29/'Fin Statement'!E9)</f>
        <v>0.36686336813436221</v>
      </c>
      <c r="F27" s="42">
        <f>IF('Fin Statement'!F29="","",'Fin Statement'!F29/'Fin Statement'!F9)</f>
        <v>0.34146237878394642</v>
      </c>
      <c r="G27" s="42">
        <f>IF('Fin Statement'!G29="","",'Fin Statement'!G29/'Fin Statement'!G9)</f>
        <v>0.35955972944084985</v>
      </c>
      <c r="H27" s="42">
        <f>IF('Fin Statement'!H29="","",'Fin Statement'!H29/'Fin Statement'!H9)</f>
        <v>0.36146015248967073</v>
      </c>
      <c r="I27" s="42">
        <f>IF('Fin Statement'!I29="","",'Fin Statement'!I29/'Fin Statement'!I9)</f>
        <v>0.4030538905915218</v>
      </c>
      <c r="J27" s="44">
        <f>IF('Fin Statement'!J29="","",'Fin Statement'!J29/'Fin Statement'!J9)</f>
        <v>0.36611409921681737</v>
      </c>
      <c r="K27" s="44">
        <f>IF('Fin Statement'!K29="","",'Fin Statement'!K29/'Fin Statement'!K9)</f>
        <v>0.36944668401489822</v>
      </c>
      <c r="L27" s="44">
        <f>IF('Fin Statement'!L29="","",'Fin Statement'!L29/'Fin Statement'!L9)</f>
        <v>0.37585741251397542</v>
      </c>
      <c r="M27" s="44">
        <f>IF('Fin Statement'!M29="","",'Fin Statement'!M29/'Fin Statement'!M9)</f>
        <v>0.38212856674512413</v>
      </c>
      <c r="N27" s="44">
        <f>IF('Fin Statement'!N29="","",'Fin Statement'!N29/'Fin Statement'!N9)</f>
        <v>0.39029979787166696</v>
      </c>
    </row>
    <row r="30" spans="2:14" x14ac:dyDescent="0.35">
      <c r="B30" s="54" t="s">
        <v>26</v>
      </c>
      <c r="C30" s="54"/>
      <c r="D30" s="54"/>
      <c r="E30" s="57" t="s">
        <v>3</v>
      </c>
      <c r="F30" s="58"/>
      <c r="G30" s="58"/>
      <c r="H30" s="58"/>
      <c r="I30" s="58" t="s">
        <v>1113</v>
      </c>
      <c r="J30" s="59"/>
      <c r="K30" s="59"/>
      <c r="L30" s="59"/>
      <c r="M30" s="59"/>
      <c r="N30" s="59"/>
    </row>
    <row r="31" spans="2:14" x14ac:dyDescent="0.35">
      <c r="B31" t="s">
        <v>113</v>
      </c>
      <c r="E31" s="62" t="str">
        <f>(2021+COLUMN()-COLUMN($D$5))&amp;IF(COLUMN()-COLUMN($D$5)&lt;5,"A","E")</f>
        <v>2022A</v>
      </c>
      <c r="F31" s="62" t="str">
        <f>(2021+COLUMN()-COLUMN($D$5))&amp;IF(COLUMN()-COLUMN($D$5)&lt;5,"A","E")</f>
        <v>2023A</v>
      </c>
      <c r="G31" s="62" t="str">
        <f>(2021+COLUMN()-COLUMN($D$5))&amp;IF(COLUMN()-COLUMN($D$5)&lt;5,"A","E")</f>
        <v>2024A</v>
      </c>
      <c r="H31" s="62" t="str">
        <f>(2021+COLUMN()-COLUMN($D$5))&amp;IF(COLUMN()-COLUMN($D$5)&lt;5,"A","E")</f>
        <v>2025A</v>
      </c>
      <c r="I31" s="62" t="s">
        <v>5</v>
      </c>
      <c r="J31" s="63" t="str">
        <f>(2021+COLUMN()-COLUMN($D$5))&amp;IF(COLUMN()-COLUMN($D$5)&lt;5,"A","E")</f>
        <v>2027E</v>
      </c>
      <c r="K31" s="63" t="str">
        <f>(2021+COLUMN()-COLUMN($D$5))&amp;IF(COLUMN()-COLUMN($D$5)&lt;5,"A","E")</f>
        <v>2028E</v>
      </c>
      <c r="L31" s="63" t="str">
        <f>(2021+COLUMN()-COLUMN($D$5))&amp;IF(COLUMN()-COLUMN($D$5)&lt;5,"A","E")</f>
        <v>2029E</v>
      </c>
      <c r="M31" s="63" t="str">
        <f>(2021+COLUMN()-COLUMN($D$5))&amp;IF(COLUMN()-COLUMN($D$5)&lt;5,"A","E")</f>
        <v>2030E</v>
      </c>
      <c r="N31" s="63" t="str">
        <f>(2021+COLUMN()-COLUMN($D$5))&amp;IF(COLUMN()-COLUMN($D$5)&lt;5,"A","E")</f>
        <v>2031E</v>
      </c>
    </row>
    <row r="32" spans="2:14" x14ac:dyDescent="0.35">
      <c r="B32" s="54" t="s">
        <v>28</v>
      </c>
      <c r="C32" s="54"/>
      <c r="D32" s="54"/>
      <c r="E32" s="54"/>
      <c r="F32" s="54"/>
      <c r="G32" s="54"/>
      <c r="H32" s="54"/>
      <c r="I32" s="54"/>
      <c r="J32" s="54"/>
      <c r="K32" s="54"/>
      <c r="L32" s="54"/>
      <c r="M32" s="54"/>
      <c r="N32" s="54"/>
    </row>
    <row r="33" spans="2:14" x14ac:dyDescent="0.35">
      <c r="B33" t="s">
        <v>29</v>
      </c>
      <c r="D33" s="95"/>
      <c r="E33" s="44">
        <f>IF('Fin Statement'!E35="","",'Fin Statement'!E35/'Fin Statement'!E38)</f>
        <v>0.31958440510415093</v>
      </c>
      <c r="F33" s="44">
        <f>IF('Fin Statement'!F35="","",'Fin Statement'!F35/'Fin Statement'!F38)</f>
        <v>0.44428662435410426</v>
      </c>
      <c r="G33" s="44">
        <f>IF('Fin Statement'!G35="","",'Fin Statement'!G35/'Fin Statement'!G38)</f>
        <v>0.43578299785412977</v>
      </c>
      <c r="H33" s="44">
        <f>IF('Fin Statement'!H35="","",'Fin Statement'!H35/'Fin Statement'!H38)</f>
        <v>0.42882395536056567</v>
      </c>
      <c r="I33" s="44">
        <f>IFERROR('Fin Statement'!I35/'Fin Statement'!I38,"")</f>
        <v>0.42187928483391041</v>
      </c>
      <c r="J33" s="44">
        <f>IF('Fin Statement'!J35="","",'Fin Statement'!J35/'Fin Statement'!J38)</f>
        <v>0.40200986059909799</v>
      </c>
      <c r="K33" s="44">
        <f>IF('Fin Statement'!K35="","",'Fin Statement'!K35/'Fin Statement'!K38)</f>
        <v>0.38152616870114653</v>
      </c>
      <c r="L33" s="44">
        <f>IF('Fin Statement'!L35="","",'Fin Statement'!L35/'Fin Statement'!L38)</f>
        <v>0.36332303240583125</v>
      </c>
      <c r="M33" s="44">
        <f>IF('Fin Statement'!M35="","",'Fin Statement'!M35/'Fin Statement'!M38)</f>
        <v>0.3468367658148388</v>
      </c>
      <c r="N33" s="44">
        <f>IF('Fin Statement'!N35="","",'Fin Statement'!N35/'Fin Statement'!N38)</f>
        <v>0.33291999713929871</v>
      </c>
    </row>
    <row r="34" spans="2:14" x14ac:dyDescent="0.35">
      <c r="B34" t="s">
        <v>30</v>
      </c>
      <c r="D34" s="95"/>
      <c r="E34" s="44">
        <f>IF('Fin Statement'!E36="","",'Fin Statement'!E36/'Fin Statement'!E38)</f>
        <v>0.37809552630251675</v>
      </c>
      <c r="F34" s="44">
        <f>IF('Fin Statement'!F36="","",'Fin Statement'!F36/'Fin Statement'!F38)</f>
        <v>0.34421348182054123</v>
      </c>
      <c r="G34" s="44">
        <f>IF('Fin Statement'!G36="","",'Fin Statement'!G36/'Fin Statement'!G38)</f>
        <v>0.35681823744910696</v>
      </c>
      <c r="H34" s="44">
        <f>IF('Fin Statement'!H36="","",'Fin Statement'!H36/'Fin Statement'!H38)</f>
        <v>0.37719541111158439</v>
      </c>
      <c r="I34" s="44">
        <f>IFERROR('Fin Statement'!I36/'Fin Statement'!I38,"")</f>
        <v>0.41523449624667386</v>
      </c>
      <c r="J34" s="44">
        <f>IF('Fin Statement'!J36="","",'Fin Statement'!J36/'Fin Statement'!J38)</f>
        <v>0.46633481445381597</v>
      </c>
      <c r="K34" s="44">
        <f>IF('Fin Statement'!K36="","",'Fin Statement'!K36/'Fin Statement'!K38)</f>
        <v>0.50579835408693574</v>
      </c>
      <c r="L34" s="44">
        <f>IF('Fin Statement'!L36="","",'Fin Statement'!L36/'Fin Statement'!L38)</f>
        <v>0.53807735739915064</v>
      </c>
      <c r="M34" s="44">
        <f>IF('Fin Statement'!M36="","",'Fin Statement'!M36/'Fin Statement'!M38)</f>
        <v>0.56502751856662459</v>
      </c>
      <c r="N34" s="44">
        <f>IF('Fin Statement'!N36="","",'Fin Statement'!N36/'Fin Statement'!N38)</f>
        <v>0.58713755980369109</v>
      </c>
    </row>
    <row r="35" spans="2:14" x14ac:dyDescent="0.35">
      <c r="B35" t="s">
        <v>31</v>
      </c>
      <c r="D35" s="95"/>
      <c r="E35" s="44">
        <f>IF('Fin Statement'!E37="","",'Fin Statement'!E37/'Fin Statement'!E38)</f>
        <v>0.30232006859333233</v>
      </c>
      <c r="F35" s="44">
        <f>IF('Fin Statement'!F37="","",'Fin Statement'!F37/'Fin Statement'!F38)</f>
        <v>0.2114998938253545</v>
      </c>
      <c r="G35" s="44">
        <f>IF('Fin Statement'!G37="","",'Fin Statement'!G37/'Fin Statement'!G38)</f>
        <v>0.20739876469676324</v>
      </c>
      <c r="H35" s="44">
        <f>IF('Fin Statement'!H37="","",'Fin Statement'!H37/'Fin Statement'!H38)</f>
        <v>0.19398063352784994</v>
      </c>
      <c r="I35" s="44">
        <f>IFERROR('Fin Statement'!I37/'Fin Statement'!I38,"")</f>
        <v>0.16288621891941574</v>
      </c>
      <c r="J35" s="44">
        <f>IF('Fin Statement'!J37="","",'Fin Statement'!J37/'Fin Statement'!J38)</f>
        <v>0.13165532494708596</v>
      </c>
      <c r="K35" s="44">
        <f>IF('Fin Statement'!K37="","",'Fin Statement'!K37/'Fin Statement'!K38)</f>
        <v>0.11267547721191766</v>
      </c>
      <c r="L35" s="44">
        <f>IF('Fin Statement'!L37="","",'Fin Statement'!L37/'Fin Statement'!L38)</f>
        <v>9.8599610195017992E-2</v>
      </c>
      <c r="M35" s="44">
        <f>IF('Fin Statement'!M37="","",'Fin Statement'!M37/'Fin Statement'!M38)</f>
        <v>8.8135715618536573E-2</v>
      </c>
      <c r="N35" s="44">
        <f>IF('Fin Statement'!N37="","",'Fin Statement'!N37/'Fin Statement'!N38)</f>
        <v>7.9942443057010135E-2</v>
      </c>
    </row>
    <row r="36" spans="2:14" ht="15" thickBot="1" x14ac:dyDescent="0.4">
      <c r="B36" s="73" t="s">
        <v>32</v>
      </c>
      <c r="C36" s="73"/>
      <c r="D36" s="102"/>
      <c r="E36" s="307">
        <f>IF('Fin Statement'!E38="","",'Fin Statement'!E38/'Fin Statement'!E38)</f>
        <v>1</v>
      </c>
      <c r="F36" s="307">
        <f>IF('Fin Statement'!F38="","",'Fin Statement'!F38/'Fin Statement'!F38)</f>
        <v>1</v>
      </c>
      <c r="G36" s="307">
        <f>IF('Fin Statement'!G38="","",'Fin Statement'!G38/'Fin Statement'!G38)</f>
        <v>1</v>
      </c>
      <c r="H36" s="307">
        <f>IF('Fin Statement'!H38="","",'Fin Statement'!H38/'Fin Statement'!H38)</f>
        <v>1</v>
      </c>
      <c r="I36" s="307">
        <f>IFERROR('Fin Statement'!I38/'Fin Statement'!I38,"")</f>
        <v>1</v>
      </c>
      <c r="J36" s="307">
        <f>IF('Fin Statement'!J38="","",'Fin Statement'!J38/'Fin Statement'!J38)</f>
        <v>1</v>
      </c>
      <c r="K36" s="307">
        <f>IF('Fin Statement'!K38="","",'Fin Statement'!K38/'Fin Statement'!K38)</f>
        <v>1</v>
      </c>
      <c r="L36" s="307">
        <f>IF('Fin Statement'!L38="","",'Fin Statement'!L38/'Fin Statement'!L38)</f>
        <v>1</v>
      </c>
      <c r="M36" s="307">
        <f>IF('Fin Statement'!M38="","",'Fin Statement'!M38/'Fin Statement'!M38)</f>
        <v>1</v>
      </c>
      <c r="N36" s="307">
        <f>IF('Fin Statement'!N38="","",'Fin Statement'!N38/'Fin Statement'!N38)</f>
        <v>1</v>
      </c>
    </row>
    <row r="37" spans="2:14" x14ac:dyDescent="0.35">
      <c r="E37" s="4"/>
      <c r="F37" s="4"/>
      <c r="G37" s="4"/>
      <c r="H37" s="4"/>
      <c r="I37" s="4"/>
      <c r="J37" s="4"/>
      <c r="K37" s="4"/>
      <c r="L37" s="4"/>
      <c r="M37" s="4"/>
      <c r="N37" s="4"/>
    </row>
    <row r="38" spans="2:14" x14ac:dyDescent="0.35">
      <c r="B38" s="54" t="s">
        <v>33</v>
      </c>
      <c r="C38" s="54"/>
      <c r="D38" s="54"/>
      <c r="E38" s="18"/>
      <c r="F38" s="18"/>
      <c r="G38" s="18"/>
      <c r="H38" s="18"/>
      <c r="I38" s="18"/>
      <c r="J38" s="18"/>
      <c r="K38" s="18"/>
      <c r="L38" s="18"/>
      <c r="M38" s="18"/>
      <c r="N38" s="18"/>
    </row>
    <row r="39" spans="2:14" x14ac:dyDescent="0.35">
      <c r="B39" t="s">
        <v>29</v>
      </c>
      <c r="D39" s="95"/>
      <c r="E39" s="44">
        <f>IF('Fin Statement'!E41="","",'Fin Statement'!E41/'Fin Statement'!E44)</f>
        <v>0.3560677836009738</v>
      </c>
      <c r="F39" s="44">
        <f>IF('Fin Statement'!F41="","",'Fin Statement'!F41/'Fin Statement'!F44)</f>
        <v>0.56566090168656735</v>
      </c>
      <c r="G39" s="44">
        <f>IF('Fin Statement'!G41="","",'Fin Statement'!G41/'Fin Statement'!G44)</f>
        <v>0.54518289729789005</v>
      </c>
      <c r="H39" s="44">
        <f>IF('Fin Statement'!H41="","",'Fin Statement'!H41/'Fin Statement'!H44)</f>
        <v>0.54286225569525703</v>
      </c>
      <c r="I39" s="44">
        <f>IFERROR('Fin Statement'!I41/'Fin Statement'!I44,"")</f>
        <v>0.54032865876047587</v>
      </c>
      <c r="J39" s="44">
        <f>IF('Fin Statement'!J41="","",'Fin Statement'!J41/'Fin Statement'!J44)</f>
        <v>0.51387950018330086</v>
      </c>
      <c r="K39" s="44">
        <f>IF('Fin Statement'!K41="","",'Fin Statement'!K41/'Fin Statement'!K44)</f>
        <v>0.4887462458509324</v>
      </c>
      <c r="L39" s="44">
        <f>IF('Fin Statement'!L41="","",'Fin Statement'!L41/'Fin Statement'!L44)</f>
        <v>0.46673122618522522</v>
      </c>
      <c r="M39" s="44">
        <f>IF('Fin Statement'!M41="","",'Fin Statement'!M41/'Fin Statement'!M44)</f>
        <v>0.44700924698060945</v>
      </c>
      <c r="N39" s="44">
        <f>IF('Fin Statement'!N41="","",'Fin Statement'!N41/'Fin Statement'!N44)</f>
        <v>0.43034791339866579</v>
      </c>
    </row>
    <row r="40" spans="2:14" x14ac:dyDescent="0.35">
      <c r="B40" t="s">
        <v>30</v>
      </c>
      <c r="D40" s="95"/>
      <c r="E40" s="44">
        <f>IF('Fin Statement'!E42="","",'Fin Statement'!E42/'Fin Statement'!E44)</f>
        <v>0.39819867359054006</v>
      </c>
      <c r="F40" s="44">
        <f>IF('Fin Statement'!F42="","",'Fin Statement'!F42/'Fin Statement'!F44)</f>
        <v>0.3209448391943337</v>
      </c>
      <c r="G40" s="44">
        <f>IF('Fin Statement'!G42="","",'Fin Statement'!G42/'Fin Statement'!G44)</f>
        <v>0.34553562453738818</v>
      </c>
      <c r="H40" s="44">
        <f>IF('Fin Statement'!H42="","",'Fin Statement'!H42/'Fin Statement'!H44)</f>
        <v>0.34692051537408192</v>
      </c>
      <c r="I40" s="44">
        <f>IFERROR('Fin Statement'!I42/'Fin Statement'!I44,"")</f>
        <v>0.36700013527702802</v>
      </c>
      <c r="J40" s="44">
        <f>IF('Fin Statement'!J42="","",'Fin Statement'!J42/'Fin Statement'!J44)</f>
        <v>0.41136318608038253</v>
      </c>
      <c r="K40" s="44">
        <f>IF('Fin Statement'!K42="","",'Fin Statement'!K42/'Fin Statement'!K44)</f>
        <v>0.4471358703606032</v>
      </c>
      <c r="L40" s="44">
        <f>IF('Fin Statement'!L42="","",'Fin Statement'!L42/'Fin Statement'!L44)</f>
        <v>0.47700358295853479</v>
      </c>
      <c r="M40" s="44">
        <f>IF('Fin Statement'!M42="","",'Fin Statement'!M42/'Fin Statement'!M44)</f>
        <v>0.50253229376772046</v>
      </c>
      <c r="N40" s="44">
        <f>IF('Fin Statement'!N42="","",'Fin Statement'!N42/'Fin Statement'!N44)</f>
        <v>0.52374836400907121</v>
      </c>
    </row>
    <row r="41" spans="2:14" x14ac:dyDescent="0.35">
      <c r="B41" t="s">
        <v>31</v>
      </c>
      <c r="D41" s="95"/>
      <c r="E41" s="44">
        <f>IF('Fin Statement'!E43="","",'Fin Statement'!E43/'Fin Statement'!E44)</f>
        <v>0.24573354280848614</v>
      </c>
      <c r="F41" s="44">
        <f>IF('Fin Statement'!F43="","",'Fin Statement'!F43/'Fin Statement'!F44)</f>
        <v>0.11339425911909899</v>
      </c>
      <c r="G41" s="44">
        <f>IF('Fin Statement'!G43="","",'Fin Statement'!G43/'Fin Statement'!G44)</f>
        <v>0.10928147816472179</v>
      </c>
      <c r="H41" s="44">
        <f>IF('Fin Statement'!H43="","",'Fin Statement'!H43/'Fin Statement'!H44)</f>
        <v>0.11021722893066102</v>
      </c>
      <c r="I41" s="44">
        <f>IFERROR('Fin Statement'!I43/'Fin Statement'!I44,"")</f>
        <v>9.2671205962496048E-2</v>
      </c>
      <c r="J41" s="44">
        <f>IF('Fin Statement'!J43="","",'Fin Statement'!J43/'Fin Statement'!J44)</f>
        <v>7.4757313736316555E-2</v>
      </c>
      <c r="K41" s="44">
        <f>IF('Fin Statement'!K43="","",'Fin Statement'!K43/'Fin Statement'!K44)</f>
        <v>6.4117883788464405E-2</v>
      </c>
      <c r="L41" s="44">
        <f>IF('Fin Statement'!L43="","",'Fin Statement'!L43/'Fin Statement'!L44)</f>
        <v>5.6265190856239988E-2</v>
      </c>
      <c r="M41" s="44">
        <f>IF('Fin Statement'!M43="","",'Fin Statement'!M43/'Fin Statement'!M44)</f>
        <v>5.0458459251670161E-2</v>
      </c>
      <c r="N41" s="44">
        <f>IF('Fin Statement'!N43="","",'Fin Statement'!N43/'Fin Statement'!N44)</f>
        <v>4.5903722592262872E-2</v>
      </c>
    </row>
    <row r="42" spans="2:14" ht="15" thickBot="1" x14ac:dyDescent="0.4">
      <c r="B42" s="73" t="s">
        <v>34</v>
      </c>
      <c r="C42" s="73"/>
      <c r="D42" s="102"/>
      <c r="E42" s="307">
        <f>IF('Fin Statement'!E44="","",'Fin Statement'!E44/'Fin Statement'!E44)</f>
        <v>1</v>
      </c>
      <c r="F42" s="307">
        <f>IF('Fin Statement'!F44="","",'Fin Statement'!F44/'Fin Statement'!F44)</f>
        <v>1</v>
      </c>
      <c r="G42" s="307">
        <f>IF('Fin Statement'!G44="","",'Fin Statement'!G44/'Fin Statement'!G44)</f>
        <v>1</v>
      </c>
      <c r="H42" s="307">
        <f>IF('Fin Statement'!H44="","",'Fin Statement'!H44/'Fin Statement'!H44)</f>
        <v>1</v>
      </c>
      <c r="I42" s="307">
        <f>IFERROR('Fin Statement'!I44/'Fin Statement'!I44,"")</f>
        <v>1</v>
      </c>
      <c r="J42" s="307">
        <f>IF('Fin Statement'!J44="","",'Fin Statement'!J44/'Fin Statement'!J44)</f>
        <v>1</v>
      </c>
      <c r="K42" s="307">
        <f>IF('Fin Statement'!K44="","",'Fin Statement'!K44/'Fin Statement'!K44)</f>
        <v>1</v>
      </c>
      <c r="L42" s="307">
        <f>IF('Fin Statement'!L44="","",'Fin Statement'!L44/'Fin Statement'!L44)</f>
        <v>1</v>
      </c>
      <c r="M42" s="307">
        <f>IF('Fin Statement'!M44="","",'Fin Statement'!M44/'Fin Statement'!M44)</f>
        <v>1</v>
      </c>
      <c r="N42" s="307">
        <f>IF('Fin Statement'!N44="","",'Fin Statement'!N44/'Fin Statement'!N44)</f>
        <v>1</v>
      </c>
    </row>
    <row r="43" spans="2:14" x14ac:dyDescent="0.35">
      <c r="E43" s="4"/>
      <c r="F43" s="4"/>
      <c r="G43" s="4"/>
      <c r="H43" s="4"/>
      <c r="I43" s="4"/>
      <c r="J43" s="4"/>
      <c r="K43" s="4"/>
      <c r="L43" s="4"/>
      <c r="M43" s="4"/>
      <c r="N43" s="4"/>
    </row>
    <row r="44" spans="2:14" x14ac:dyDescent="0.35">
      <c r="B44" s="74" t="s">
        <v>35</v>
      </c>
      <c r="C44" s="74"/>
      <c r="D44" s="74"/>
      <c r="E44" s="16"/>
      <c r="F44" s="16"/>
      <c r="G44" s="16"/>
      <c r="H44" s="16"/>
      <c r="I44" s="16"/>
      <c r="J44" s="16"/>
      <c r="K44" s="16"/>
      <c r="L44" s="16"/>
      <c r="M44" s="16"/>
      <c r="N44" s="16"/>
    </row>
    <row r="45" spans="2:14" x14ac:dyDescent="0.35">
      <c r="B45" t="s">
        <v>36</v>
      </c>
      <c r="E45" s="7"/>
      <c r="F45" s="7"/>
      <c r="G45" s="7"/>
      <c r="H45" s="7" t="s">
        <v>37</v>
      </c>
      <c r="I45" s="7"/>
      <c r="J45" s="7"/>
      <c r="K45" s="7"/>
      <c r="L45" s="7"/>
      <c r="M45" s="7"/>
      <c r="N45" s="7"/>
    </row>
    <row r="46" spans="2:14" x14ac:dyDescent="0.35">
      <c r="B46" t="s">
        <v>38</v>
      </c>
      <c r="E46" s="92"/>
      <c r="F46" s="92">
        <v>0.28999999999999998</v>
      </c>
      <c r="G46" s="92">
        <v>0.3</v>
      </c>
      <c r="H46" s="19"/>
      <c r="I46" s="19"/>
      <c r="J46" s="19"/>
      <c r="K46" s="19"/>
      <c r="L46" s="19"/>
      <c r="M46" s="19"/>
      <c r="N46" s="19"/>
    </row>
    <row r="47" spans="2:14" x14ac:dyDescent="0.35">
      <c r="B47" s="75" t="s">
        <v>39</v>
      </c>
      <c r="C47" s="75"/>
      <c r="D47" s="75"/>
      <c r="E47" s="20"/>
      <c r="F47" s="20"/>
      <c r="G47" s="93"/>
      <c r="H47" s="93">
        <v>0.34</v>
      </c>
      <c r="I47" s="20"/>
      <c r="J47" s="20"/>
      <c r="K47" s="20"/>
      <c r="L47" s="20"/>
      <c r="M47" s="20"/>
      <c r="N47" s="20"/>
    </row>
    <row r="48" spans="2:14" x14ac:dyDescent="0.35">
      <c r="B48" s="75"/>
      <c r="C48" s="75"/>
      <c r="D48" s="75"/>
      <c r="E48" s="75"/>
      <c r="F48" s="75"/>
      <c r="G48" s="75"/>
      <c r="H48" s="75"/>
      <c r="I48" s="75"/>
      <c r="J48" s="75"/>
      <c r="K48" s="75"/>
      <c r="L48" s="75"/>
      <c r="M48" s="75"/>
      <c r="N48" s="75"/>
    </row>
    <row r="49" spans="2:14" x14ac:dyDescent="0.35">
      <c r="B49" s="75"/>
      <c r="C49" s="75"/>
      <c r="D49" s="75"/>
      <c r="E49" s="75"/>
      <c r="F49" s="75"/>
      <c r="G49" s="75"/>
      <c r="H49" s="75"/>
      <c r="I49" s="75"/>
      <c r="J49" s="75"/>
      <c r="K49" s="75"/>
      <c r="L49" s="75"/>
      <c r="M49" s="75"/>
      <c r="N49" s="75"/>
    </row>
    <row r="50" spans="2:14" x14ac:dyDescent="0.35">
      <c r="B50" s="56" t="s">
        <v>40</v>
      </c>
      <c r="E50" s="57" t="s">
        <v>3</v>
      </c>
      <c r="F50" s="58"/>
      <c r="G50" s="58"/>
      <c r="H50" s="58"/>
      <c r="I50" s="58" t="s">
        <v>1113</v>
      </c>
      <c r="J50" s="59"/>
      <c r="K50" s="59"/>
      <c r="L50" s="59"/>
      <c r="M50" s="59"/>
      <c r="N50" s="59"/>
    </row>
    <row r="51" spans="2:14" x14ac:dyDescent="0.35">
      <c r="B51" s="76" t="s">
        <v>111</v>
      </c>
      <c r="E51" s="62" t="str">
        <f>(2021+COLUMN()-COLUMN($D$5))&amp;IF(COLUMN()-COLUMN($D$5)&lt;5,"A","E")</f>
        <v>2022A</v>
      </c>
      <c r="F51" s="62" t="str">
        <f>(2021+COLUMN()-COLUMN($D$5))&amp;IF(COLUMN()-COLUMN($D$5)&lt;5,"A","E")</f>
        <v>2023A</v>
      </c>
      <c r="G51" s="62" t="str">
        <f>(2021+COLUMN()-COLUMN($D$5))&amp;IF(COLUMN()-COLUMN($D$5)&lt;5,"A","E")</f>
        <v>2024A</v>
      </c>
      <c r="H51" s="62" t="str">
        <f>(2021+COLUMN()-COLUMN($D$5))&amp;IF(COLUMN()-COLUMN($D$5)&lt;5,"A","E")</f>
        <v>2025A</v>
      </c>
      <c r="I51" s="62" t="s">
        <v>5</v>
      </c>
      <c r="J51" s="63" t="str">
        <f>(2021+COLUMN()-COLUMN($D$5))&amp;IF(COLUMN()-COLUMN($D$5)&lt;5,"A","E")</f>
        <v>2027E</v>
      </c>
      <c r="K51" s="63" t="str">
        <f>(2021+COLUMN()-COLUMN($D$5))&amp;IF(COLUMN()-COLUMN($D$5)&lt;5,"A","E")</f>
        <v>2028E</v>
      </c>
      <c r="L51" s="63" t="str">
        <f>(2021+COLUMN()-COLUMN($D$5))&amp;IF(COLUMN()-COLUMN($D$5)&lt;5,"A","E")</f>
        <v>2029E</v>
      </c>
      <c r="M51" s="63" t="str">
        <f>(2021+COLUMN()-COLUMN($D$5))&amp;IF(COLUMN()-COLUMN($D$5)&lt;5,"A","E")</f>
        <v>2030E</v>
      </c>
      <c r="N51" s="63" t="str">
        <f>(2021+COLUMN()-COLUMN($D$5))&amp;IF(COLUMN()-COLUMN($D$5)&lt;5,"A","E")</f>
        <v>2031E</v>
      </c>
    </row>
    <row r="52" spans="2:14" x14ac:dyDescent="0.35">
      <c r="B52" s="65" t="s">
        <v>42</v>
      </c>
    </row>
    <row r="53" spans="2:14" x14ac:dyDescent="0.35">
      <c r="B53" t="s">
        <v>25</v>
      </c>
      <c r="D53" s="95"/>
      <c r="E53" s="42">
        <f>IF('Fin Statement'!E55="","",'Fin Statement'!E55/'Fin Statement'!E9)</f>
        <v>0.36686336813436221</v>
      </c>
      <c r="F53" s="42">
        <f>IF('Fin Statement'!F55="","",'Fin Statement'!F55/'Fin Statement'!F9)</f>
        <v>0.34146237878394642</v>
      </c>
      <c r="G53" s="42">
        <f>IF('Fin Statement'!G55="","",'Fin Statement'!G55/'Fin Statement'!G9)</f>
        <v>0.35955972944084985</v>
      </c>
      <c r="H53" s="42">
        <f>IF('Fin Statement'!H55="","",'Fin Statement'!H55/'Fin Statement'!H9)</f>
        <v>0.36146015248967073</v>
      </c>
      <c r="I53" s="43">
        <f>IF('Fin Statement'!I55="","",'Fin Statement'!I55/'Fin Statement'!I9)</f>
        <v>0.4030538905915218</v>
      </c>
      <c r="J53" s="44">
        <f>IF('Fin Statement'!J55="","",'Fin Statement'!J55/'Fin Statement'!J9)</f>
        <v>0.36611409921681737</v>
      </c>
      <c r="K53" s="44">
        <f>IF('Fin Statement'!K55="","",'Fin Statement'!K55/'Fin Statement'!K9)</f>
        <v>0.36944668401489822</v>
      </c>
      <c r="L53" s="44">
        <f>IF('Fin Statement'!L55="","",'Fin Statement'!L55/'Fin Statement'!L9)</f>
        <v>0.37585741251397542</v>
      </c>
      <c r="M53" s="44">
        <f>IF('Fin Statement'!M55="","",'Fin Statement'!M55/'Fin Statement'!M9)</f>
        <v>0.38212856674512413</v>
      </c>
      <c r="N53" s="44">
        <f>IF('Fin Statement'!N55="","",'Fin Statement'!N55/'Fin Statement'!N9)</f>
        <v>0.39029979787166696</v>
      </c>
    </row>
    <row r="54" spans="2:14" x14ac:dyDescent="0.35">
      <c r="B54" s="54" t="s">
        <v>43</v>
      </c>
      <c r="E54" s="2"/>
      <c r="F54" s="2"/>
      <c r="G54" s="2"/>
      <c r="H54" s="2"/>
      <c r="I54" s="2"/>
    </row>
    <row r="55" spans="2:14" x14ac:dyDescent="0.35">
      <c r="B55" s="1" t="s">
        <v>44</v>
      </c>
      <c r="D55" s="95"/>
      <c r="E55" s="42">
        <f>IF('Fin Statement'!E57="","",'Fin Statement'!E57/'Fin Statement'!E9)</f>
        <v>7.2930851868663937E-2</v>
      </c>
      <c r="F55" s="42">
        <f>IF('Fin Statement'!F57="","",'Fin Statement'!F57/'Fin Statement'!F9)</f>
        <v>6.5408300497841118E-2</v>
      </c>
      <c r="G55" s="42">
        <f>IF('Fin Statement'!G57="","",'Fin Statement'!G57/'Fin Statement'!G9)</f>
        <v>8.5500281492481289E-2</v>
      </c>
      <c r="H55" s="42">
        <f>IF('Fin Statement'!H57="","",'Fin Statement'!H57/'Fin Statement'!H9)</f>
        <v>0.10447459215402309</v>
      </c>
      <c r="I55" s="43">
        <f>IF('Fin Statement'!I57="","",'Fin Statement'!I57/'Fin Statement'!I9)</f>
        <v>0.11612257751499974</v>
      </c>
      <c r="J55" s="44">
        <f>IF('Fin Statement'!J57="","",'Fin Statement'!J57/'Fin Statement'!J9)</f>
        <v>0.13769969538678453</v>
      </c>
      <c r="K55" s="44">
        <f>IF('Fin Statement'!K57="","",'Fin Statement'!K57/'Fin Statement'!K9)</f>
        <v>0.14629428536264064</v>
      </c>
      <c r="L55" s="44">
        <f>IF('Fin Statement'!L57="","",'Fin Statement'!L57/'Fin Statement'!L9)</f>
        <v>0.1523504178997743</v>
      </c>
      <c r="M55" s="44">
        <f>IF('Fin Statement'!M57="","",'Fin Statement'!M57/'Fin Statement'!M9)</f>
        <v>0.1551395285083226</v>
      </c>
      <c r="N55" s="44">
        <f>IF('Fin Statement'!N57="","",'Fin Statement'!N57/'Fin Statement'!N9)</f>
        <v>0.15753933392604624</v>
      </c>
    </row>
    <row r="56" spans="2:14" x14ac:dyDescent="0.35">
      <c r="B56" s="1" t="s">
        <v>45</v>
      </c>
      <c r="D56" s="95"/>
      <c r="E56" s="42">
        <f>IF('Fin Statement'!E58="","",'Fin Statement'!E58/'Fin Statement'!E9)</f>
        <v>3.7837292580824126E-2</v>
      </c>
      <c r="F56" s="42">
        <f>IF('Fin Statement'!F58="","",'Fin Statement'!F58/'Fin Statement'!F9)</f>
        <v>4.5353089682183892E-2</v>
      </c>
      <c r="G56" s="42">
        <f>IF('Fin Statement'!G58="","",'Fin Statement'!G58/'Fin Statement'!G9)</f>
        <v>4.3790439046678793E-2</v>
      </c>
      <c r="H56" s="42">
        <f>IF('Fin Statement'!H58="","",'Fin Statement'!H58/'Fin Statement'!H9)</f>
        <v>4.2502591188539135E-2</v>
      </c>
      <c r="I56" s="43">
        <f>IF('Fin Statement'!I58="","",'Fin Statement'!I58/'Fin Statement'!I9)</f>
        <v>3.7382586133637097E-2</v>
      </c>
      <c r="J56" s="44">
        <f>IF('Fin Statement'!J58="","",'Fin Statement'!J58/'Fin Statement'!J9)</f>
        <v>3.6999999999999998E-2</v>
      </c>
      <c r="K56" s="44">
        <f>IF('Fin Statement'!K58="","",'Fin Statement'!K58/'Fin Statement'!K9)</f>
        <v>3.5999999999999997E-2</v>
      </c>
      <c r="L56" s="44">
        <f>IF('Fin Statement'!L58="","",'Fin Statement'!L58/'Fin Statement'!L9)</f>
        <v>3.5000000000000003E-2</v>
      </c>
      <c r="M56" s="44">
        <f>IF('Fin Statement'!M58="","",'Fin Statement'!M58/'Fin Statement'!M9)</f>
        <v>3.4000000000000002E-2</v>
      </c>
      <c r="N56" s="44">
        <f>IF('Fin Statement'!N58="","",'Fin Statement'!N58/'Fin Statement'!N9)</f>
        <v>3.3000000000000002E-2</v>
      </c>
    </row>
    <row r="57" spans="2:14" x14ac:dyDescent="0.35">
      <c r="B57" s="1" t="s">
        <v>46</v>
      </c>
      <c r="D57" s="95"/>
      <c r="E57" s="42">
        <f>IF('Fin Statement'!E59="","",'Fin Statement'!E59/'Fin Statement'!E9)</f>
        <v>-2.0628435971150453E-3</v>
      </c>
      <c r="F57" s="42">
        <f>IF('Fin Statement'!F59="","",'Fin Statement'!F59/'Fin Statement'!F9)</f>
        <v>9.2489913408678006E-4</v>
      </c>
      <c r="G57" s="42">
        <f>IF('Fin Statement'!G59="","",'Fin Statement'!G59/'Fin Statement'!G9)</f>
        <v>6.666068325160532E-3</v>
      </c>
      <c r="H57" s="42">
        <f>IF('Fin Statement'!H59="","",'Fin Statement'!H59/'Fin Statement'!H9)</f>
        <v>1.891567633570445E-2</v>
      </c>
      <c r="I57" s="43">
        <f>IF('Fin Statement'!I59="","",'Fin Statement'!I59/'Fin Statement'!I9)</f>
        <v>-3.3290240146577103E-2</v>
      </c>
      <c r="J57" s="44">
        <f>IF('Fin Statement'!J59="","",'Fin Statement'!J59/'Fin Statement'!J9)</f>
        <v>0</v>
      </c>
      <c r="K57" s="44">
        <f>IF('Fin Statement'!K59="","",'Fin Statement'!K59/'Fin Statement'!K9)</f>
        <v>0</v>
      </c>
      <c r="L57" s="44">
        <f>IF('Fin Statement'!L59="","",'Fin Statement'!L59/'Fin Statement'!L9)</f>
        <v>0</v>
      </c>
      <c r="M57" s="44">
        <f>IF('Fin Statement'!M59="","",'Fin Statement'!M59/'Fin Statement'!M9)</f>
        <v>0</v>
      </c>
      <c r="N57" s="44">
        <f>IF('Fin Statement'!N59="","",'Fin Statement'!N59/'Fin Statement'!N9)</f>
        <v>0</v>
      </c>
    </row>
    <row r="58" spans="2:14" x14ac:dyDescent="0.35">
      <c r="B58" s="1" t="s">
        <v>47</v>
      </c>
      <c r="D58" s="95"/>
      <c r="E58" s="42">
        <f>IF('Fin Statement'!E60="","",'Fin Statement'!E60/'Fin Statement'!E9)</f>
        <v>-2.8758763302567207E-2</v>
      </c>
      <c r="F58" s="42">
        <f>IF('Fin Statement'!F60="","",'Fin Statement'!F60/'Fin Statement'!F9)</f>
        <v>-2.8591652313427553E-2</v>
      </c>
      <c r="G58" s="42">
        <f>IF('Fin Statement'!G60="","",'Fin Statement'!G60/'Fin Statement'!G9)</f>
        <v>-1.9329150382258631E-2</v>
      </c>
      <c r="H58" s="42">
        <f>IF('Fin Statement'!H60="","",'Fin Statement'!H60/'Fin Statement'!H9)</f>
        <v>-2.5045789496102568E-2</v>
      </c>
      <c r="I58" s="43">
        <f>IF('Fin Statement'!I60="","",'Fin Statement'!I60/'Fin Statement'!I9)</f>
        <v>4.2758687194693813E-2</v>
      </c>
      <c r="J58" s="44">
        <f>IF('Fin Statement'!J60="","",'Fin Statement'!J60/'Fin Statement'!J9)</f>
        <v>0</v>
      </c>
      <c r="K58" s="44">
        <f>IF('Fin Statement'!K60="","",'Fin Statement'!K60/'Fin Statement'!K9)</f>
        <v>0</v>
      </c>
      <c r="L58" s="44">
        <f>IF('Fin Statement'!L60="","",'Fin Statement'!L60/'Fin Statement'!L9)</f>
        <v>0</v>
      </c>
      <c r="M58" s="44">
        <f>IF('Fin Statement'!M60="","",'Fin Statement'!M60/'Fin Statement'!M9)</f>
        <v>0</v>
      </c>
      <c r="N58" s="44">
        <f>IF('Fin Statement'!N60="","",'Fin Statement'!N60/'Fin Statement'!N9)</f>
        <v>0</v>
      </c>
    </row>
    <row r="59" spans="2:14" x14ac:dyDescent="0.35">
      <c r="B59" s="55" t="s">
        <v>48</v>
      </c>
      <c r="C59" s="54"/>
      <c r="D59" s="103"/>
      <c r="E59" s="308">
        <f>IF('Fin Statement'!E61="","",'Fin Statement'!E61/'Fin Statement'!E9)</f>
        <v>-3.082160689968225E-2</v>
      </c>
      <c r="F59" s="308">
        <f>IF('Fin Statement'!F61="","",'Fin Statement'!F61/'Fin Statement'!F9)</f>
        <v>-2.7666753179340774E-2</v>
      </c>
      <c r="G59" s="308">
        <f>IF('Fin Statement'!G61="","",'Fin Statement'!G61/'Fin Statement'!G9)</f>
        <v>-1.2663082057098098E-2</v>
      </c>
      <c r="H59" s="308">
        <f>IF('Fin Statement'!H61="","",'Fin Statement'!H61/'Fin Statement'!H9)</f>
        <v>-6.1301131603981205E-3</v>
      </c>
      <c r="I59" s="309">
        <f>IF('Fin Statement'!I61="","",'Fin Statement'!I61/'Fin Statement'!I9)</f>
        <v>9.4684470481167064E-3</v>
      </c>
      <c r="J59" s="44">
        <f>IF('Fin Statement'!J61="","",'Fin Statement'!J61/'Fin Statement'!J9)</f>
        <v>0</v>
      </c>
      <c r="K59" s="44">
        <f>IF('Fin Statement'!K61="","",'Fin Statement'!K61/'Fin Statement'!K9)</f>
        <v>0</v>
      </c>
      <c r="L59" s="44">
        <f>IF('Fin Statement'!L61="","",'Fin Statement'!L61/'Fin Statement'!L9)</f>
        <v>0</v>
      </c>
      <c r="M59" s="44">
        <f>IF('Fin Statement'!M61="","",'Fin Statement'!M61/'Fin Statement'!M9)</f>
        <v>0</v>
      </c>
      <c r="N59" s="44">
        <f>IF('Fin Statement'!N61="","",'Fin Statement'!N61/'Fin Statement'!N9)</f>
        <v>0</v>
      </c>
    </row>
    <row r="60" spans="2:14" x14ac:dyDescent="0.35">
      <c r="B60" s="55" t="s">
        <v>49</v>
      </c>
      <c r="E60" s="2"/>
      <c r="F60" s="2"/>
      <c r="G60" s="2"/>
      <c r="H60" s="2"/>
      <c r="I60" s="2"/>
    </row>
    <row r="61" spans="2:14" x14ac:dyDescent="0.35">
      <c r="B61" s="1" t="s">
        <v>50</v>
      </c>
      <c r="D61" s="95"/>
      <c r="E61" s="42">
        <f>IF('Fin Statement'!E63="","",'Fin Statement'!E63/'Fin Statement'!E9)</f>
        <v>-3.4468149493115448E-2</v>
      </c>
      <c r="F61" s="42">
        <f>IF('Fin Statement'!F63="","",'Fin Statement'!F63/'Fin Statement'!F9)</f>
        <v>-1.9286034494962603E-2</v>
      </c>
      <c r="G61" s="42">
        <f>IF('Fin Statement'!G63="","",'Fin Statement'!G63/'Fin Statement'!G9)</f>
        <v>-2.9336412072355808E-2</v>
      </c>
      <c r="H61" s="42">
        <f>IF('Fin Statement'!H63="","",'Fin Statement'!H63/'Fin Statement'!H9)</f>
        <v>-3.755803552413E-2</v>
      </c>
      <c r="I61" s="43">
        <f>IF('Fin Statement'!I63="","",'Fin Statement'!I63/'Fin Statement'!I9)</f>
        <v>-3.8383071308676797E-2</v>
      </c>
      <c r="J61" s="44">
        <f>IF('Fin Statement'!J63="","",'Fin Statement'!J63/'Fin Statement'!J9)</f>
        <v>-3.6476697728098077E-2</v>
      </c>
      <c r="K61" s="44">
        <f>IF('Fin Statement'!K63="","",'Fin Statement'!K63/'Fin Statement'!K9)</f>
        <v>-3.7218286397775344E-2</v>
      </c>
      <c r="L61" s="44">
        <f>IF('Fin Statement'!L63="","",'Fin Statement'!L63/'Fin Statement'!L9)</f>
        <v>-3.190500296762154E-2</v>
      </c>
      <c r="M61" s="44">
        <f>IF('Fin Statement'!M63="","",'Fin Statement'!M63/'Fin Statement'!M9)</f>
        <v>-3.1863305673575579E-2</v>
      </c>
      <c r="N61" s="44">
        <f>IF('Fin Statement'!N63="","",'Fin Statement'!N63/'Fin Statement'!N9)</f>
        <v>-2.6042442255459809E-2</v>
      </c>
    </row>
    <row r="62" spans="2:14" x14ac:dyDescent="0.35">
      <c r="B62" s="1" t="s">
        <v>51</v>
      </c>
      <c r="D62" s="95"/>
      <c r="E62" s="42">
        <f>IF('Fin Statement'!E64="","",'Fin Statement'!E64/'Fin Statement'!E9)</f>
        <v>-5.6639935441569573E-3</v>
      </c>
      <c r="F62" s="42">
        <f>IF('Fin Statement'!F64="","",'Fin Statement'!F64/'Fin Statement'!F9)</f>
        <v>5.8608404313050047E-3</v>
      </c>
      <c r="G62" s="42">
        <f>IF('Fin Statement'!G64="","",'Fin Statement'!G64/'Fin Statement'!G9)</f>
        <v>5.238207912794445E-3</v>
      </c>
      <c r="H62" s="42">
        <f>IF('Fin Statement'!H64="","",'Fin Statement'!H64/'Fin Statement'!H9)</f>
        <v>1.0968181624568727E-3</v>
      </c>
      <c r="I62" s="43">
        <f>IF('Fin Statement'!I64="","",'Fin Statement'!I64/'Fin Statement'!I9)</f>
        <v>-1.3892279087147684E-3</v>
      </c>
      <c r="J62" s="44">
        <f>IF('Fin Statement'!J64="","",'Fin Statement'!J64/'Fin Statement'!J9)</f>
        <v>-1.1305441902620366E-3</v>
      </c>
      <c r="K62" s="44">
        <f>IF('Fin Statement'!K64="","",'Fin Statement'!K64/'Fin Statement'!K9)</f>
        <v>-7.1927474836149972E-4</v>
      </c>
      <c r="L62" s="44">
        <f>IF('Fin Statement'!L64="","",'Fin Statement'!L64/'Fin Statement'!L9)</f>
        <v>-6.4214132255111152E-4</v>
      </c>
      <c r="M62" s="44">
        <f>IF('Fin Statement'!M64="","",'Fin Statement'!M64/'Fin Statement'!M9)</f>
        <v>-5.9176470224664283E-4</v>
      </c>
      <c r="N62" s="44">
        <f>IF('Fin Statement'!N64="","",'Fin Statement'!N64/'Fin Statement'!N9)</f>
        <v>-5.2862189973576664E-4</v>
      </c>
    </row>
    <row r="63" spans="2:14" x14ac:dyDescent="0.35">
      <c r="B63" s="1" t="s">
        <v>52</v>
      </c>
      <c r="D63" s="95"/>
      <c r="E63" s="42">
        <f>IF('Fin Statement'!E65="","",'Fin Statement'!E65/'Fin Statement'!E9)</f>
        <v>-3.5759318101578653E-3</v>
      </c>
      <c r="F63" s="42">
        <f>IF('Fin Statement'!F65="","",'Fin Statement'!F65/'Fin Statement'!F9)</f>
        <v>-9.3952764079937717E-3</v>
      </c>
      <c r="G63" s="42">
        <f>IF('Fin Statement'!G65="","",'Fin Statement'!G65/'Fin Statement'!G9)</f>
        <v>-6.7231827416551759E-3</v>
      </c>
      <c r="H63" s="42">
        <f>IF('Fin Statement'!H65="","",'Fin Statement'!H65/'Fin Statement'!H9)</f>
        <v>-1.0804901250869645E-2</v>
      </c>
      <c r="I63" s="43">
        <f>IF('Fin Statement'!I65="","",'Fin Statement'!I65/'Fin Statement'!I9)</f>
        <v>-7.9164896229798193E-3</v>
      </c>
      <c r="J63" s="44" t="str">
        <f>IF('Fin Statement'!J65="","",'Fin Statement'!J65/'Fin Statement'!J9)</f>
        <v/>
      </c>
      <c r="K63" s="44" t="str">
        <f>IF('Fin Statement'!K65="","",'Fin Statement'!K65/'Fin Statement'!K9)</f>
        <v/>
      </c>
      <c r="L63" s="44" t="str">
        <f>IF('Fin Statement'!L65="","",'Fin Statement'!L65/'Fin Statement'!L9)</f>
        <v/>
      </c>
      <c r="M63" s="44" t="str">
        <f>IF('Fin Statement'!M65="","",'Fin Statement'!M65/'Fin Statement'!M9)</f>
        <v/>
      </c>
      <c r="N63" s="44" t="str">
        <f>IF('Fin Statement'!N65="","",'Fin Statement'!N65/'Fin Statement'!N9)</f>
        <v/>
      </c>
    </row>
    <row r="64" spans="2:14" x14ac:dyDescent="0.35">
      <c r="B64" s="1" t="s">
        <v>53</v>
      </c>
      <c r="D64" s="95"/>
      <c r="E64" s="42">
        <f>IF('Fin Statement'!E66="","",'Fin Statement'!E66/'Fin Statement'!E9)</f>
        <v>-1.4147374791950371E-2</v>
      </c>
      <c r="F64" s="42">
        <f>IF('Fin Statement'!F66="","",'Fin Statement'!F66/'Fin Statement'!F9)</f>
        <v>-1.3368567586060448E-2</v>
      </c>
      <c r="G64" s="42">
        <f>IF('Fin Statement'!G66="","",'Fin Statement'!G66/'Fin Statement'!G9)</f>
        <v>-2.7810641231713187E-2</v>
      </c>
      <c r="H64" s="42">
        <f>IF('Fin Statement'!H66="","",'Fin Statement'!H66/'Fin Statement'!H9)</f>
        <v>-1.0471241356788914E-2</v>
      </c>
      <c r="I64" s="43">
        <f>IF('Fin Statement'!I66="","",'Fin Statement'!I66/'Fin Statement'!I9)</f>
        <v>-1.1945551909208985E-2</v>
      </c>
      <c r="J64" s="44" t="str">
        <f>IF('Fin Statement'!J66="","",'Fin Statement'!J66/'Fin Statement'!J9)</f>
        <v/>
      </c>
      <c r="K64" s="44" t="str">
        <f>IF('Fin Statement'!K66="","",'Fin Statement'!K66/'Fin Statement'!K9)</f>
        <v/>
      </c>
      <c r="L64" s="44" t="str">
        <f>IF('Fin Statement'!L66="","",'Fin Statement'!L66/'Fin Statement'!L9)</f>
        <v/>
      </c>
      <c r="M64" s="44" t="str">
        <f>IF('Fin Statement'!M66="","",'Fin Statement'!M66/'Fin Statement'!M9)</f>
        <v/>
      </c>
      <c r="N64" s="44" t="str">
        <f>IF('Fin Statement'!N66="","",'Fin Statement'!N66/'Fin Statement'!N9)</f>
        <v/>
      </c>
    </row>
    <row r="65" spans="2:14" x14ac:dyDescent="0.35">
      <c r="B65" s="78" t="s">
        <v>54</v>
      </c>
      <c r="D65" s="95"/>
      <c r="E65" s="42">
        <f>IF('Fin Statement'!E67="","",'Fin Statement'!E67/'Fin Statement'!E9)</f>
        <v>-1.7723306602108236E-2</v>
      </c>
      <c r="F65" s="42">
        <f>IF('Fin Statement'!F67="","",'Fin Statement'!F67/'Fin Statement'!F9)</f>
        <v>-2.276384399405422E-2</v>
      </c>
      <c r="G65" s="42">
        <f>IF('Fin Statement'!G67="","",'Fin Statement'!G67/'Fin Statement'!G9)</f>
        <v>-3.4533823973368363E-2</v>
      </c>
      <c r="H65" s="42">
        <f>IF('Fin Statement'!H67="","",'Fin Statement'!H67/'Fin Statement'!H9)</f>
        <v>-2.127614260765856E-2</v>
      </c>
      <c r="I65" s="42">
        <f>IF('Fin Statement'!I67="","",'Fin Statement'!I67/'Fin Statement'!I9)</f>
        <v>-1.9862041532188804E-2</v>
      </c>
      <c r="J65" s="44">
        <f>IF('Fin Statement'!J67="","",'Fin Statement'!J67/'Fin Statement'!J9)</f>
        <v>1.7403649152454347E-3</v>
      </c>
      <c r="K65" s="44">
        <f>IF('Fin Statement'!K67="","",'Fin Statement'!K67/'Fin Statement'!K9)</f>
        <v>1.8043082609532097E-3</v>
      </c>
      <c r="L65" s="44">
        <f>IF('Fin Statement'!L67="","",'Fin Statement'!L67/'Fin Statement'!L9)</f>
        <v>1.7617528719975331E-3</v>
      </c>
      <c r="M65" s="44">
        <f>IF('Fin Statement'!M67="","",'Fin Statement'!M67/'Fin Statement'!M9)</f>
        <v>1.6696263819235364E-3</v>
      </c>
      <c r="N65" s="44">
        <f>IF('Fin Statement'!N67="","",'Fin Statement'!N67/'Fin Statement'!N9)</f>
        <v>1.564626247924318E-3</v>
      </c>
    </row>
    <row r="66" spans="2:14" x14ac:dyDescent="0.35">
      <c r="B66" s="1" t="s">
        <v>55</v>
      </c>
      <c r="D66" s="95"/>
      <c r="E66" s="42">
        <f>IF('Fin Statement'!E68="","",'Fin Statement'!E68/'Fin Statement'!E9)</f>
        <v>1.4843395369950068E-2</v>
      </c>
      <c r="F66" s="42">
        <f>IF('Fin Statement'!F68="","",'Fin Statement'!F68/'Fin Statement'!F9)</f>
        <v>-1.2840053795153718E-2</v>
      </c>
      <c r="G66" s="42">
        <f>IF('Fin Statement'!G68="","",'Fin Statement'!G68/'Fin Statement'!G9)</f>
        <v>1.4462186176679367E-2</v>
      </c>
      <c r="H66" s="42">
        <f>IF('Fin Statement'!H68="","",'Fin Statement'!H68/'Fin Statement'!H9)</f>
        <v>2.0197072311908108E-3</v>
      </c>
      <c r="I66" s="42">
        <f>IF('Fin Statement'!I68="","",'Fin Statement'!I68/'Fin Statement'!I9)</f>
        <v>1.5875168379846854E-2</v>
      </c>
      <c r="J66" s="44">
        <f>IF('Fin Statement'!J68="","",'Fin Statement'!J68/'Fin Statement'!J9)</f>
        <v>2.3194328878058473E-2</v>
      </c>
      <c r="K66" s="44">
        <f>IF('Fin Statement'!K68="","",'Fin Statement'!K68/'Fin Statement'!K9)</f>
        <v>1.542736418699874E-2</v>
      </c>
      <c r="L66" s="44">
        <f>IF('Fin Statement'!L68="","",'Fin Statement'!L68/'Fin Statement'!L9)</f>
        <v>1.2652884202030644E-2</v>
      </c>
      <c r="M66" s="44">
        <f>IF('Fin Statement'!M68="","",'Fin Statement'!M68/'Fin Statement'!M9)</f>
        <v>1.0728348011837396E-2</v>
      </c>
      <c r="N66" s="44">
        <f>IF('Fin Statement'!N68="","",'Fin Statement'!N68/'Fin Statement'!N9)</f>
        <v>8.5854105070927843E-3</v>
      </c>
    </row>
    <row r="67" spans="2:14" x14ac:dyDescent="0.35">
      <c r="B67" s="1" t="s">
        <v>56</v>
      </c>
      <c r="D67" s="95"/>
      <c r="E67" s="42">
        <f>IF('Fin Statement'!E69="","",'Fin Statement'!E69/'Fin Statement'!E9)</f>
        <v>2.5767892268119232E-2</v>
      </c>
      <c r="F67" s="42">
        <f>IF('Fin Statement'!F69="","",'Fin Statement'!F69/'Fin Statement'!F9)</f>
        <v>2.6118962791685345E-2</v>
      </c>
      <c r="G67" s="42">
        <f>IF('Fin Statement'!G69="","",'Fin Statement'!G69/'Fin Statement'!G9)</f>
        <v>2.181770710095381E-2</v>
      </c>
      <c r="H67" s="42">
        <f>IF('Fin Statement'!H69="","",'Fin Statement'!H69/'Fin Statement'!H9)</f>
        <v>1.9302579829904444E-2</v>
      </c>
      <c r="I67" s="42">
        <f>IF('Fin Statement'!I69="","",'Fin Statement'!I69/'Fin Statement'!I9)</f>
        <v>2.8209463022730901E-2</v>
      </c>
      <c r="J67" s="44">
        <f>IF('Fin Statement'!J69="","",'Fin Statement'!J69/'Fin Statement'!J9)</f>
        <v>2.5881121057037226E-2</v>
      </c>
      <c r="K67" s="44">
        <f>IF('Fin Statement'!K69="","",'Fin Statement'!K69/'Fin Statement'!K9)</f>
        <v>3.3580094356644469E-2</v>
      </c>
      <c r="L67" s="44">
        <f>IF('Fin Statement'!L69="","",'Fin Statement'!L69/'Fin Statement'!L9)</f>
        <v>3.125810941910126E-2</v>
      </c>
      <c r="M67" s="44">
        <f>IF('Fin Statement'!M69="","",'Fin Statement'!M69/'Fin Statement'!M9)</f>
        <v>2.9075266427137678E-2</v>
      </c>
      <c r="N67" s="44">
        <f>IF('Fin Statement'!N69="","",'Fin Statement'!N69/'Fin Statement'!N9)</f>
        <v>2.6263728558107099E-2</v>
      </c>
    </row>
    <row r="68" spans="2:14" x14ac:dyDescent="0.35">
      <c r="B68" s="1" t="s">
        <v>57</v>
      </c>
      <c r="D68" s="95"/>
      <c r="E68" s="42">
        <f>IF('Fin Statement'!E70="","",'Fin Statement'!E70/'Fin Statement'!E9)</f>
        <v>3.5103646542593435E-3</v>
      </c>
      <c r="F68" s="42">
        <f>IF('Fin Statement'!F70="","",'Fin Statement'!F70/'Fin Statement'!F9)</f>
        <v>-1.6893565816483024E-3</v>
      </c>
      <c r="G68" s="42">
        <f>IF('Fin Statement'!G70="","",'Fin Statement'!G70/'Fin Statement'!G9)</f>
        <v>6.8822871876045395E-3</v>
      </c>
      <c r="H68" s="42">
        <f>IF('Fin Statement'!H70="","",'Fin Statement'!H70/'Fin Statement'!H9)</f>
        <v>-1.3488378696880634E-4</v>
      </c>
      <c r="I68" s="42">
        <f>IF('Fin Statement'!I70="","",'Fin Statement'!I70/'Fin Statement'!I9)</f>
        <v>-5.6503304313236238E-3</v>
      </c>
      <c r="J68" s="44">
        <f>IF('Fin Statement'!J70="","",'Fin Statement'!J70/'Fin Statement'!J9)</f>
        <v>1.1392811092007624E-3</v>
      </c>
      <c r="K68" s="44">
        <f>IF('Fin Statement'!K70="","",'Fin Statement'!K70/'Fin Statement'!K9)</f>
        <v>1.1655701477871275E-3</v>
      </c>
      <c r="L68" s="44">
        <f>IF('Fin Statement'!L70="","",'Fin Statement'!L70/'Fin Statement'!L9)</f>
        <v>1.0849736998418797E-3</v>
      </c>
      <c r="M68" s="44">
        <f>IF('Fin Statement'!M70="","",'Fin Statement'!M70/'Fin Statement'!M9)</f>
        <v>1.0092068898467331E-3</v>
      </c>
      <c r="N68" s="44">
        <f>IF('Fin Statement'!N70="","",'Fin Statement'!N70/'Fin Statement'!N9)</f>
        <v>9.1161798569683306E-4</v>
      </c>
    </row>
    <row r="69" spans="2:14" x14ac:dyDescent="0.35">
      <c r="B69" s="1" t="s">
        <v>58</v>
      </c>
      <c r="D69" s="95"/>
      <c r="E69" s="42">
        <f>IF('Fin Statement'!E71="","",'Fin Statement'!E71/'Fin Statement'!E9)</f>
        <v>1.1822262571241237E-2</v>
      </c>
      <c r="F69" s="42">
        <f>IF('Fin Statement'!F71="","",'Fin Statement'!F71/'Fin Statement'!F9)</f>
        <v>1.0721279758393695E-2</v>
      </c>
      <c r="G69" s="42">
        <f>IF('Fin Statement'!G71="","",'Fin Statement'!G71/'Fin Statement'!G9)</f>
        <v>1.9855418934244987E-2</v>
      </c>
      <c r="H69" s="42">
        <f>IF('Fin Statement'!H71="","",'Fin Statement'!H71/'Fin Statement'!H9)</f>
        <v>2.1020573327086085E-2</v>
      </c>
      <c r="I69" s="42">
        <f>IF('Fin Statement'!I71="","",'Fin Statement'!I71/'Fin Statement'!I9)</f>
        <v>2.0633499980412189E-2</v>
      </c>
      <c r="J69" s="44" t="str">
        <f>IF('Fin Statement'!J71="","",'Fin Statement'!J71/'Fin Statement'!J9)</f>
        <v/>
      </c>
      <c r="K69" s="44" t="str">
        <f>IF('Fin Statement'!K71="","",'Fin Statement'!K71/'Fin Statement'!K9)</f>
        <v/>
      </c>
      <c r="L69" s="44" t="str">
        <f>IF('Fin Statement'!L71="","",'Fin Statement'!L71/'Fin Statement'!L9)</f>
        <v/>
      </c>
      <c r="M69" s="44" t="str">
        <f>IF('Fin Statement'!M71="","",'Fin Statement'!M71/'Fin Statement'!M9)</f>
        <v/>
      </c>
      <c r="N69" s="44" t="str">
        <f>IF('Fin Statement'!N71="","",'Fin Statement'!N71/'Fin Statement'!N9)</f>
        <v/>
      </c>
    </row>
    <row r="70" spans="2:14" x14ac:dyDescent="0.35">
      <c r="B70" s="1" t="s">
        <v>59</v>
      </c>
      <c r="D70" s="95"/>
      <c r="E70" s="42">
        <f>IF('Fin Statement'!E72="","",'Fin Statement'!E72/'Fin Statement'!E9)</f>
        <v>4.1609925858677559E-3</v>
      </c>
      <c r="F70" s="42">
        <f>IF('Fin Statement'!F72="","",'Fin Statement'!F72/'Fin Statement'!F9)</f>
        <v>2.6095368426019869E-3</v>
      </c>
      <c r="G70" s="42">
        <f>IF('Fin Statement'!G72="","",'Fin Statement'!G72/'Fin Statement'!G9)</f>
        <v>3.0556212824634265E-3</v>
      </c>
      <c r="H70" s="42">
        <f>IF('Fin Statement'!H72="","",'Fin Statement'!H72/'Fin Statement'!H9)</f>
        <v>-3.4608340077522683E-3</v>
      </c>
      <c r="I70" s="42">
        <f>IF('Fin Statement'!I72="","",'Fin Statement'!I72/'Fin Statement'!I9)</f>
        <v>-1.4184589514794826E-2</v>
      </c>
      <c r="J70" s="44" t="str">
        <f>IF('Fin Statement'!J72="","",'Fin Statement'!J72/'Fin Statement'!J9)</f>
        <v/>
      </c>
      <c r="K70" s="44" t="str">
        <f>IF('Fin Statement'!K72="","",'Fin Statement'!K72/'Fin Statement'!K9)</f>
        <v/>
      </c>
      <c r="L70" s="44" t="str">
        <f>IF('Fin Statement'!L72="","",'Fin Statement'!L72/'Fin Statement'!L9)</f>
        <v/>
      </c>
      <c r="M70" s="44" t="str">
        <f>IF('Fin Statement'!M72="","",'Fin Statement'!M72/'Fin Statement'!M9)</f>
        <v/>
      </c>
      <c r="N70" s="44" t="str">
        <f>IF('Fin Statement'!N72="","",'Fin Statement'!N72/'Fin Statement'!N9)</f>
        <v/>
      </c>
    </row>
    <row r="71" spans="2:14" x14ac:dyDescent="0.35">
      <c r="B71" s="1" t="s">
        <v>60</v>
      </c>
      <c r="D71" s="95"/>
      <c r="E71" s="42">
        <f>IF('Fin Statement'!E73="","",'Fin Statement'!E73/'Fin Statement'!E9)</f>
        <v>1.5983255157108994E-2</v>
      </c>
      <c r="F71" s="42">
        <f>IF('Fin Statement'!F73="","",'Fin Statement'!F73/'Fin Statement'!F9)</f>
        <v>1.3330816600995683E-2</v>
      </c>
      <c r="G71" s="42">
        <f>IF('Fin Statement'!G73="","",'Fin Statement'!G73/'Fin Statement'!G9)</f>
        <v>2.2911040216708416E-2</v>
      </c>
      <c r="H71" s="42">
        <f>IF('Fin Statement'!H73="","",'Fin Statement'!H73/'Fin Statement'!H9)</f>
        <v>1.7559739319333818E-2</v>
      </c>
      <c r="I71" s="42">
        <f>IF('Fin Statement'!I73="","",'Fin Statement'!I73/'Fin Statement'!I9)</f>
        <v>6.4489104656173628E-3</v>
      </c>
      <c r="J71" s="44">
        <f>IF('Fin Statement'!J73="","",'Fin Statement'!J73/'Fin Statement'!J9)</f>
        <v>1.4387133186434253E-2</v>
      </c>
      <c r="K71" s="44">
        <f>IF('Fin Statement'!K73="","",'Fin Statement'!K73/'Fin Statement'!K9)</f>
        <v>1.4719117888393075E-2</v>
      </c>
      <c r="L71" s="44">
        <f>IF('Fin Statement'!L73="","",'Fin Statement'!L73/'Fin Statement'!L9)</f>
        <v>1.3701325333441277E-2</v>
      </c>
      <c r="M71" s="44">
        <f>IF('Fin Statement'!M73="","",'Fin Statement'!M73/'Fin Statement'!M9)</f>
        <v>1.2744522681568827E-2</v>
      </c>
      <c r="N71" s="44">
        <f>IF('Fin Statement'!N73="","",'Fin Statement'!N73/'Fin Statement'!N9)</f>
        <v>1.1512145044316767E-2</v>
      </c>
    </row>
    <row r="72" spans="2:14" x14ac:dyDescent="0.35">
      <c r="B72" s="79" t="s">
        <v>61</v>
      </c>
      <c r="C72" s="79"/>
      <c r="D72" s="104"/>
      <c r="E72" s="310">
        <f>IF('Fin Statement'!E74="","",'Fin Statement'!E74/'Fin Statement'!E9)</f>
        <v>0.44905936349422504</v>
      </c>
      <c r="F72" s="310">
        <f>IF('Fin Statement'!F74="","",'Fin Statement'!F74/'Fin Statement'!F9)</f>
        <v>0.4132883467427978</v>
      </c>
      <c r="G72" s="310">
        <f>IF('Fin Statement'!G74="","",'Fin Statement'!G74/'Fin Statement'!G9)</f>
        <v>0.48362856047192826</v>
      </c>
      <c r="H72" s="310">
        <f>IF('Fin Statement'!H74="","",'Fin Statement'!H74/'Fin Statement'!H9)</f>
        <v>0.48331700529596344</v>
      </c>
      <c r="I72" s="311">
        <f>IF('Fin Statement'!I74="","",'Fin Statement'!I74/'Fin Statement'!I9)</f>
        <v>0.55127637197556645</v>
      </c>
      <c r="J72" s="312">
        <f>IF('Fin Statement'!J74="","",'Fin Statement'!J74/'Fin Statement'!J9)</f>
        <v>0.56954878183121804</v>
      </c>
      <c r="K72" s="312">
        <f>IF('Fin Statement'!K74="","",'Fin Statement'!K74/'Fin Statement'!K9)</f>
        <v>0.5804998630721786</v>
      </c>
      <c r="L72" s="312">
        <f>IF('Fin Statement'!L74="","",'Fin Statement'!L74/'Fin Statement'!L9)</f>
        <v>0.59111973164998977</v>
      </c>
      <c r="M72" s="312">
        <f>IF('Fin Statement'!M74="","",'Fin Statement'!M74/'Fin Statement'!M9)</f>
        <v>0.59403999526993856</v>
      </c>
      <c r="N72" s="312">
        <f>IF('Fin Statement'!N74="","",'Fin Statement'!N74/'Fin Statement'!N9)</f>
        <v>0.6031055959856555</v>
      </c>
    </row>
    <row r="73" spans="2:14" x14ac:dyDescent="0.35">
      <c r="B73" s="65" t="s">
        <v>62</v>
      </c>
      <c r="E73" s="2"/>
      <c r="F73" s="2"/>
      <c r="G73" s="3"/>
      <c r="H73" s="3"/>
      <c r="I73" s="2"/>
    </row>
    <row r="74" spans="2:14" x14ac:dyDescent="0.35">
      <c r="B74" s="78" t="s">
        <v>63</v>
      </c>
      <c r="D74" s="95"/>
      <c r="E74" s="42">
        <f>IF('Fin Statement'!E76="","",'Fin Statement'!E76/'Fin Statement'!E9)</f>
        <v>-4.5508649820951229E-2</v>
      </c>
      <c r="F74" s="42">
        <f>IF('Fin Statement'!F76="","",'Fin Statement'!F76/'Fin Statement'!F9)</f>
        <v>-1.2976901116013496E-2</v>
      </c>
      <c r="G74" s="42">
        <f>IF('Fin Statement'!G76="","",'Fin Statement'!G76/'Fin Statement'!G9)</f>
        <v>2.3457706774585715E-3</v>
      </c>
      <c r="H74" s="42">
        <f>IF('Fin Statement'!H76="","",'Fin Statement'!H76/'Fin Statement'!H9)</f>
        <v>-3.1811276284590594E-2</v>
      </c>
      <c r="I74" s="42">
        <f>IF('Fin Statement'!I76="","",'Fin Statement'!I76/'Fin Statement'!I9)</f>
        <v>-9.0405286901177988E-3</v>
      </c>
      <c r="J74" s="44">
        <f>IF('Fin Statement'!J76="","",'Fin Statement'!J76/'Fin Statement'!J9)</f>
        <v>-5.6406056328523633E-3</v>
      </c>
      <c r="K74" s="44">
        <f>IF('Fin Statement'!K76="","",'Fin Statement'!K76/'Fin Statement'!K9)</f>
        <v>-6.5176932015354374E-3</v>
      </c>
      <c r="L74" s="44">
        <f>IF('Fin Statement'!L76="","",'Fin Statement'!L76/'Fin Statement'!L9)</f>
        <v>-2.4230458457716515E-3</v>
      </c>
      <c r="M74" s="44">
        <f>IF('Fin Statement'!M76="","",'Fin Statement'!M76/'Fin Statement'!M9)</f>
        <v>-3.7203656637734327E-3</v>
      </c>
      <c r="N74" s="44">
        <f>IF('Fin Statement'!N76="","",'Fin Statement'!N76/'Fin Statement'!N9)</f>
        <v>-2.8488923798415328E-3</v>
      </c>
    </row>
    <row r="75" spans="2:14" x14ac:dyDescent="0.35">
      <c r="B75" s="78" t="s">
        <v>64</v>
      </c>
      <c r="D75" s="95"/>
      <c r="E75" s="42">
        <f>IF('Fin Statement'!E77="","",'Fin Statement'!E77/'Fin Statement'!E9)</f>
        <v>-0.15562112271145409</v>
      </c>
      <c r="F75" s="42">
        <f>IF('Fin Statement'!F77="","",'Fin Statement'!F77/'Fin Statement'!F9)</f>
        <v>-9.6165915579359648E-2</v>
      </c>
      <c r="G75" s="42">
        <f>IF('Fin Statement'!G77="","",'Fin Statement'!G77/'Fin Statement'!G9)</f>
        <v>-6.2222077169735886E-2</v>
      </c>
      <c r="H75" s="42">
        <f>IF('Fin Statement'!H77="","",'Fin Statement'!H77/'Fin Statement'!H9)</f>
        <v>-5.8085218156777557E-2</v>
      </c>
      <c r="I75" s="42">
        <f>IF('Fin Statement'!I77="","",'Fin Statement'!I77/'Fin Statement'!I9)</f>
        <v>-6.1059730773055605E-2</v>
      </c>
      <c r="J75" s="44">
        <f>IF('Fin Statement'!J77="","",'Fin Statement'!J77/'Fin Statement'!J9)</f>
        <v>-5.6406056328523635E-2</v>
      </c>
      <c r="K75" s="44">
        <f>IF('Fin Statement'!K77="","",'Fin Statement'!K77/'Fin Statement'!K9)</f>
        <v>-5.2141545612283499E-2</v>
      </c>
      <c r="L75" s="44">
        <f>IF('Fin Statement'!L77="","",'Fin Statement'!L77/'Fin Statement'!L9)</f>
        <v>-4.8460916915433028E-2</v>
      </c>
      <c r="M75" s="44">
        <f>IF('Fin Statement'!M77="","",'Fin Statement'!M77/'Fin Statement'!M9)</f>
        <v>-4.5291408080720054E-2</v>
      </c>
      <c r="N75" s="44">
        <f>IF('Fin Statement'!N77="","",'Fin Statement'!N77/'Fin Statement'!N9)</f>
        <v>-4.2733385697622993E-2</v>
      </c>
    </row>
    <row r="76" spans="2:14" x14ac:dyDescent="0.35">
      <c r="B76" s="1" t="s">
        <v>65</v>
      </c>
      <c r="D76" s="95"/>
      <c r="E76" s="42">
        <f>IF('Fin Statement'!E78="","",'Fin Statement'!E78/'Fin Statement'!E9)</f>
        <v>-9.146618247843849E-2</v>
      </c>
      <c r="F76" s="42">
        <f>IF('Fin Statement'!F78="","",'Fin Statement'!F78/'Fin Statement'!F9)</f>
        <v>-9.3433688035297169E-2</v>
      </c>
      <c r="G76" s="42">
        <f>IF('Fin Statement'!G78="","",'Fin Statement'!G78/'Fin Statement'!G9)</f>
        <v>-8.8816997250348806E-2</v>
      </c>
      <c r="H76" s="42">
        <f>IF('Fin Statement'!H78="","",'Fin Statement'!H78/'Fin Statement'!H9)</f>
        <v>-8.5480825204810387E-2</v>
      </c>
      <c r="I76" s="43">
        <f>IF('Fin Statement'!I78="","",'Fin Statement'!I78/'Fin Statement'!I9)</f>
        <v>-7.9692260403388393E-2</v>
      </c>
      <c r="J76" s="44">
        <f>IF('Fin Statement'!J78="","",'Fin Statement'!J78/'Fin Statement'!J9)</f>
        <v>-7.3222819843363471E-2</v>
      </c>
      <c r="K76" s="44">
        <f>IF('Fin Statement'!K78="","",'Fin Statement'!K78/'Fin Statement'!K9)</f>
        <v>-7.3889336802979655E-2</v>
      </c>
      <c r="L76" s="44">
        <f>IF('Fin Statement'!L78="","",'Fin Statement'!L78/'Fin Statement'!L9)</f>
        <v>-7.5171482502795095E-2</v>
      </c>
      <c r="M76" s="44">
        <f>IF('Fin Statement'!M78="","",'Fin Statement'!M78/'Fin Statement'!M9)</f>
        <v>-7.6425713349024829E-2</v>
      </c>
      <c r="N76" s="44">
        <f>IF('Fin Statement'!N78="","",'Fin Statement'!N78/'Fin Statement'!N9)</f>
        <v>-7.8059959574333385E-2</v>
      </c>
    </row>
    <row r="77" spans="2:14" x14ac:dyDescent="0.35">
      <c r="B77" s="1" t="s">
        <v>66</v>
      </c>
      <c r="D77" s="95"/>
      <c r="E77" s="42">
        <f>IF('Fin Statement'!E79="","",'Fin Statement'!E79/'Fin Statement'!E9)</f>
        <v>-4.3526504261865136E-3</v>
      </c>
      <c r="F77" s="42">
        <f>IF('Fin Statement'!F79="","",'Fin Statement'!F79/'Fin Statement'!F9)</f>
        <v>-4.7471863718943916E-3</v>
      </c>
      <c r="G77" s="42">
        <f>IF('Fin Statement'!G79="","",'Fin Statement'!G79/'Fin Statement'!G9)</f>
        <v>-5.3401979422491655E-3</v>
      </c>
      <c r="H77" s="42">
        <f>IF('Fin Statement'!H79="","",'Fin Statement'!H79/'Fin Statement'!H9)</f>
        <v>-8.1320725248825096E-3</v>
      </c>
      <c r="I77" s="43">
        <f>IF('Fin Statement'!I79="","",'Fin Statement'!I79/'Fin Statement'!I9)</f>
        <v>-8.5553536504148087E-3</v>
      </c>
      <c r="J77" s="44">
        <f>IF('Fin Statement'!J79="","",'Fin Statement'!J79/'Fin Statement'!J9)</f>
        <v>-1.4228427708870088E-2</v>
      </c>
      <c r="K77" s="44">
        <f>IF('Fin Statement'!K79="","",'Fin Statement'!K79/'Fin Statement'!K9)</f>
        <v>-1.3767631129560044E-2</v>
      </c>
      <c r="L77" s="44">
        <f>IF('Fin Statement'!L79="","",'Fin Statement'!L79/'Fin Statement'!L9)</f>
        <v>-1.3157054809003754E-2</v>
      </c>
      <c r="M77" s="44">
        <f>IF('Fin Statement'!M79="","",'Fin Statement'!M79/'Fin Statement'!M9)</f>
        <v>-1.2488634460798885E-2</v>
      </c>
      <c r="N77" s="44">
        <f>IF('Fin Statement'!N79="","",'Fin Statement'!N79/'Fin Statement'!N9)</f>
        <v>-1.1861813886717252E-2</v>
      </c>
    </row>
    <row r="78" spans="2:14" x14ac:dyDescent="0.35">
      <c r="B78" s="79" t="s">
        <v>67</v>
      </c>
      <c r="C78" s="79"/>
      <c r="D78" s="104"/>
      <c r="E78" s="310">
        <f>IF('Fin Statement'!E80="","",'Fin Statement'!E80/'Fin Statement'!E9)</f>
        <v>-0.29694860543703033</v>
      </c>
      <c r="F78" s="310">
        <f>IF('Fin Statement'!F80="","",'Fin Statement'!F80/'Fin Statement'!F9)</f>
        <v>-0.20732369110256471</v>
      </c>
      <c r="G78" s="310">
        <f>IF('Fin Statement'!G80="","",'Fin Statement'!G80/'Fin Statement'!G9)</f>
        <v>-0.15403350168487528</v>
      </c>
      <c r="H78" s="310">
        <f>IF('Fin Statement'!H80="","",'Fin Statement'!H80/'Fin Statement'!H9)</f>
        <v>-0.18350939217106105</v>
      </c>
      <c r="I78" s="311">
        <f>IF('Fin Statement'!I80="","",'Fin Statement'!I80/'Fin Statement'!I9)</f>
        <v>-0.1583478735169766</v>
      </c>
      <c r="J78" s="312">
        <f>IF('Fin Statement'!J80="","",'Fin Statement'!J80/'Fin Statement'!J9)</f>
        <v>-0.14949790951360956</v>
      </c>
      <c r="K78" s="312">
        <f>IF('Fin Statement'!K80="","",'Fin Statement'!K80/'Fin Statement'!K9)</f>
        <v>-0.14631620674635862</v>
      </c>
      <c r="L78" s="312">
        <f>IF('Fin Statement'!L80="","",'Fin Statement'!L80/'Fin Statement'!L9)</f>
        <v>-0.13921250007300354</v>
      </c>
      <c r="M78" s="312">
        <f>IF('Fin Statement'!M80="","",'Fin Statement'!M80/'Fin Statement'!M9)</f>
        <v>-0.13792612155431719</v>
      </c>
      <c r="N78" s="312">
        <f>IF('Fin Statement'!N80="","",'Fin Statement'!N80/'Fin Statement'!N9)</f>
        <v>-0.13550405153851516</v>
      </c>
    </row>
    <row r="79" spans="2:14" x14ac:dyDescent="0.35">
      <c r="B79" s="65" t="s">
        <v>68</v>
      </c>
      <c r="E79" s="2"/>
      <c r="F79" s="2"/>
      <c r="G79" s="3"/>
      <c r="H79" s="3"/>
      <c r="I79" s="2"/>
    </row>
    <row r="80" spans="2:14" x14ac:dyDescent="0.35">
      <c r="B80" s="1" t="s">
        <v>69</v>
      </c>
      <c r="D80" s="95"/>
      <c r="E80" s="42">
        <f>IF('Fin Statement'!E82="","",'Fin Statement'!E82/'Fin Statement'!E9)</f>
        <v>-0.12047208352246935</v>
      </c>
      <c r="F80" s="42">
        <f>IF('Fin Statement'!F82="","",'Fin Statement'!F82/'Fin Statement'!F9)</f>
        <v>-0.13263336715192411</v>
      </c>
      <c r="G80" s="42">
        <f>IF('Fin Statement'!G82="","",'Fin Statement'!G82/'Fin Statement'!G9)</f>
        <v>-0.18144842160230415</v>
      </c>
      <c r="H80" s="42">
        <f>IF('Fin Statement'!H82="","",'Fin Statement'!H82/'Fin Statement'!H9)</f>
        <v>-0.22912850875324786</v>
      </c>
      <c r="I80" s="43">
        <f>IF('Fin Statement'!I82="","",'Fin Statement'!I82/'Fin Statement'!I9)</f>
        <v>-0.34941040685392616</v>
      </c>
      <c r="J80" s="44">
        <f>IF('Fin Statement'!J82="","",'Fin Statement'!J82/'Fin Statement'!J9)</f>
        <v>-0.35894763118151402</v>
      </c>
      <c r="K80" s="44">
        <f>IF('Fin Statement'!K82="","",'Fin Statement'!K82/'Fin Statement'!K9)</f>
        <v>-0.33674748207933092</v>
      </c>
      <c r="L80" s="44">
        <f>IF('Fin Statement'!L82="","",'Fin Statement'!L82/'Fin Statement'!L9)</f>
        <v>-0.31685984137013906</v>
      </c>
      <c r="M80" s="44">
        <f>IF('Fin Statement'!M82="","",'Fin Statement'!M82/'Fin Statement'!M9)</f>
        <v>-0.29924680339047177</v>
      </c>
      <c r="N80" s="44">
        <f>IF('Fin Statement'!N82="","",'Fin Statement'!N82/'Fin Statement'!N9)</f>
        <v>-0.28488923798415328</v>
      </c>
    </row>
    <row r="81" spans="2:14" x14ac:dyDescent="0.35">
      <c r="B81" s="1" t="s">
        <v>70</v>
      </c>
      <c r="D81" s="95"/>
      <c r="E81" s="42">
        <f>IF('Fin Statement'!E83="","",'Fin Statement'!E83/'Fin Statement'!E9)</f>
        <v>-0.11115146013012558</v>
      </c>
      <c r="F81" s="42">
        <f>IF('Fin Statement'!F83="","",'Fin Statement'!F83/'Fin Statement'!F9)</f>
        <v>-7.8805181322700139E-3</v>
      </c>
      <c r="G81" s="42">
        <f>IF('Fin Statement'!G83="","",'Fin Statement'!G83/'Fin Statement'!G9)</f>
        <v>-0.28203098865054954</v>
      </c>
      <c r="H81" s="42">
        <f>IF('Fin Statement'!H83="","",'Fin Statement'!H83/'Fin Statement'!H9)</f>
        <v>-2.1219349434198009E-2</v>
      </c>
      <c r="I81" s="43">
        <f>IF('Fin Statement'!I83="","",'Fin Statement'!I83/'Fin Statement'!I9)</f>
        <v>-5.2525471689584408E-3</v>
      </c>
      <c r="J81" s="44">
        <f>IF('Fin Statement'!J83="","",'Fin Statement'!J83/'Fin Statement'!J9)</f>
        <v>0</v>
      </c>
      <c r="K81" s="44">
        <f>IF('Fin Statement'!K83="","",'Fin Statement'!K83/'Fin Statement'!K9)</f>
        <v>0</v>
      </c>
      <c r="L81" s="44">
        <f>IF('Fin Statement'!L83="","",'Fin Statement'!L83/'Fin Statement'!L9)</f>
        <v>0</v>
      </c>
      <c r="M81" s="44">
        <f>IF('Fin Statement'!M83="","",'Fin Statement'!M83/'Fin Statement'!M9)</f>
        <v>0</v>
      </c>
      <c r="N81" s="44">
        <f>IF('Fin Statement'!N83="","",'Fin Statement'!N83/'Fin Statement'!N9)</f>
        <v>0</v>
      </c>
    </row>
    <row r="82" spans="2:14" x14ac:dyDescent="0.35">
      <c r="B82" s="78" t="s">
        <v>71</v>
      </c>
      <c r="D82" s="95"/>
      <c r="E82" s="42">
        <f>IF('Fin Statement'!E84="","",'Fin Statement'!E84/'Fin Statement'!E9)</f>
        <v>9.2994401573611746E-2</v>
      </c>
      <c r="F82" s="42">
        <f>IF('Fin Statement'!F84="","",'Fin Statement'!F84/'Fin Statement'!F9)</f>
        <v>4.8193851308307577E-2</v>
      </c>
      <c r="G82" s="42">
        <f>IF('Fin Statement'!G84="","",'Fin Statement'!G84/'Fin Statement'!G9)</f>
        <v>7.3175806333172874E-2</v>
      </c>
      <c r="H82" s="42">
        <f>IF('Fin Statement'!H84="","",'Fin Statement'!H84/'Fin Statement'!H9)</f>
        <v>-1.5571978248214565E-2</v>
      </c>
      <c r="I82" s="42">
        <f>IF('Fin Statement'!I84="","",'Fin Statement'!I84/'Fin Statement'!I9)</f>
        <v>-5.8703166294498234E-3</v>
      </c>
      <c r="J82" s="44">
        <f>IF('Fin Statement'!J84="","",'Fin Statement'!J84/'Fin Statement'!J9)</f>
        <v>-7.1227927028202943E-3</v>
      </c>
      <c r="K82" s="44">
        <f>IF('Fin Statement'!K84="","",'Fin Statement'!K84/'Fin Statement'!K9)</f>
        <v>-2.3292334942950074E-2</v>
      </c>
      <c r="L82" s="44">
        <f>IF('Fin Statement'!L84="","",'Fin Statement'!L84/'Fin Statement'!L9)</f>
        <v>-2.165448502708189E-2</v>
      </c>
      <c r="M82" s="44">
        <f>IF('Fin Statement'!M84="","",'Fin Statement'!M84/'Fin Statement'!M9)</f>
        <v>-2.012245056928753E-2</v>
      </c>
      <c r="N82" s="44">
        <f>IF('Fin Statement'!N84="","",'Fin Statement'!N84/'Fin Statement'!N9)</f>
        <v>-1.8171183042250953E-2</v>
      </c>
    </row>
    <row r="83" spans="2:14" x14ac:dyDescent="0.35">
      <c r="B83" s="1" t="s">
        <v>66</v>
      </c>
      <c r="D83" s="95"/>
      <c r="E83" s="42">
        <f>IF('Fin Statement'!E85="","",'Fin Statement'!E85/'Fin Statement'!E9)</f>
        <v>-1.4248247339486559E-2</v>
      </c>
      <c r="F83" s="42">
        <f>IF('Fin Statement'!F85="","",'Fin Statement'!F85/'Fin Statement'!F9)</f>
        <v>-1.4704008682726566E-2</v>
      </c>
      <c r="G83" s="42">
        <f>IF('Fin Statement'!G85="","",'Fin Statement'!G85/'Fin Statement'!G9)</f>
        <v>-5.2953223292890889E-3</v>
      </c>
      <c r="H83" s="42">
        <f>IF('Fin Statement'!H85="","",'Fin Statement'!H85/'Fin Statement'!H9)</f>
        <v>8.2243614317559031E-3</v>
      </c>
      <c r="I83" s="43">
        <f>IF('Fin Statement'!I85="","",'Fin Statement'!I85/'Fin Statement'!I9)</f>
        <v>-5.9851313438143199E-2</v>
      </c>
      <c r="J83" s="44">
        <f>IF('Fin Statement'!J85="","",'Fin Statement'!J85/'Fin Statement'!J9)</f>
        <v>0</v>
      </c>
      <c r="K83" s="44">
        <f>IF('Fin Statement'!K85="","",'Fin Statement'!K85/'Fin Statement'!K9)</f>
        <v>0</v>
      </c>
      <c r="L83" s="44">
        <f>IF('Fin Statement'!L85="","",'Fin Statement'!L85/'Fin Statement'!L9)</f>
        <v>0</v>
      </c>
      <c r="M83" s="44">
        <f>IF('Fin Statement'!M85="","",'Fin Statement'!M85/'Fin Statement'!M9)</f>
        <v>0</v>
      </c>
      <c r="N83" s="44">
        <f>IF('Fin Statement'!N85="","",'Fin Statement'!N85/'Fin Statement'!N9)</f>
        <v>0</v>
      </c>
    </row>
    <row r="84" spans="2:14" x14ac:dyDescent="0.35">
      <c r="B84" s="79" t="s">
        <v>72</v>
      </c>
      <c r="C84" s="79"/>
      <c r="D84" s="104"/>
      <c r="E84" s="310">
        <f>IF('Fin Statement'!E86="","",'Fin Statement'!E86/'Fin Statement'!E9)</f>
        <v>-0.15287738941846976</v>
      </c>
      <c r="F84" s="310">
        <f>IF('Fin Statement'!F86="","",'Fin Statement'!F86/'Fin Statement'!F9)</f>
        <v>-0.10702404265861312</v>
      </c>
      <c r="G84" s="310">
        <f>IF('Fin Statement'!G86="","",'Fin Statement'!G86/'Fin Statement'!G9)</f>
        <v>-0.39559892624896992</v>
      </c>
      <c r="H84" s="310">
        <f>IF('Fin Statement'!H86="","",'Fin Statement'!H86/'Fin Statement'!H9)</f>
        <v>-0.25769547500390455</v>
      </c>
      <c r="I84" s="311">
        <f>IF('Fin Statement'!I86="","",'Fin Statement'!I86/'Fin Statement'!I9)</f>
        <v>-0.42038458409047763</v>
      </c>
      <c r="J84" s="312">
        <f>IF('Fin Statement'!J86="","",'Fin Statement'!J86/'Fin Statement'!J9)</f>
        <v>-0.36607042388433436</v>
      </c>
      <c r="K84" s="312">
        <f>IF('Fin Statement'!K86="","",'Fin Statement'!K86/'Fin Statement'!K9)</f>
        <v>-0.36003981702228105</v>
      </c>
      <c r="L84" s="312">
        <f>IF('Fin Statement'!L86="","",'Fin Statement'!L86/'Fin Statement'!L9)</f>
        <v>-0.3385143263972209</v>
      </c>
      <c r="M84" s="312">
        <f>IF('Fin Statement'!M86="","",'Fin Statement'!M86/'Fin Statement'!M9)</f>
        <v>-0.31936925395975929</v>
      </c>
      <c r="N84" s="312">
        <f>IF('Fin Statement'!N86="","",'Fin Statement'!N86/'Fin Statement'!N9)</f>
        <v>-0.30306042102640424</v>
      </c>
    </row>
    <row r="85" spans="2:14" x14ac:dyDescent="0.35">
      <c r="B85" t="s">
        <v>73</v>
      </c>
      <c r="D85" s="95"/>
      <c r="E85" s="42">
        <f>IF('Fin Statement'!E87="","",'Fin Statement'!E87/'Fin Statement'!E9)</f>
        <v>-7.1115146013012555E-4</v>
      </c>
      <c r="F85" s="42">
        <f>IF('Fin Statement'!F87="","",'Fin Statement'!F87/'Fin Statement'!F9)</f>
        <v>-9.1546138782058848E-4</v>
      </c>
      <c r="G85" s="42">
        <f>IF('Fin Statement'!G87="","",'Fin Statement'!G87/'Fin Statement'!G9)</f>
        <v>-8.5671624741965225E-4</v>
      </c>
      <c r="H85" s="42">
        <f>IF('Fin Statement'!H87="","",'Fin Statement'!H87/'Fin Statement'!H9)</f>
        <v>2.236231205009158E-4</v>
      </c>
      <c r="I85" s="43">
        <f>IF('Fin Statement'!I87="","",'Fin Statement'!I87/'Fin Statement'!I9)</f>
        <v>-5.9064787442102942E-4</v>
      </c>
      <c r="J85" s="44">
        <f>IF('Fin Statement'!J87="","",'Fin Statement'!J87/'Fin Statement'!J9)</f>
        <v>0</v>
      </c>
      <c r="K85" s="44">
        <f>IF('Fin Statement'!K87="","",'Fin Statement'!K87/'Fin Statement'!K9)</f>
        <v>0</v>
      </c>
      <c r="L85" s="44">
        <f>IF('Fin Statement'!L87="","",'Fin Statement'!L87/'Fin Statement'!L9)</f>
        <v>0</v>
      </c>
      <c r="M85" s="44">
        <f>IF('Fin Statement'!M87="","",'Fin Statement'!M87/'Fin Statement'!M9)</f>
        <v>0</v>
      </c>
      <c r="N85" s="44">
        <f>IF('Fin Statement'!N87="","",'Fin Statement'!N87/'Fin Statement'!N9)</f>
        <v>0</v>
      </c>
    </row>
    <row r="86" spans="2:14" x14ac:dyDescent="0.35">
      <c r="B86" s="79" t="s">
        <v>74</v>
      </c>
      <c r="C86" s="79"/>
      <c r="D86" s="104"/>
      <c r="E86" s="310">
        <f>IF('Fin Statement'!E88="","",'Fin Statement'!E88/'Fin Statement'!E9)</f>
        <v>-1.4777828214051546E-3</v>
      </c>
      <c r="F86" s="310">
        <f>IF('Fin Statement'!F88="","",'Fin Statement'!F88/'Fin Statement'!F9)</f>
        <v>9.8025151593799403E-2</v>
      </c>
      <c r="G86" s="310">
        <f>IF('Fin Statement'!G88="","",'Fin Statement'!G88/'Fin Statement'!G9)</f>
        <v>-6.6860583709336577E-2</v>
      </c>
      <c r="H86" s="310">
        <f>IF('Fin Statement'!H88="","",'Fin Statement'!H88/'Fin Statement'!H9)</f>
        <v>4.2335761241498772E-2</v>
      </c>
      <c r="I86" s="311">
        <f>IF('Fin Statement'!I88="","",'Fin Statement'!I88/'Fin Statement'!I9)</f>
        <v>-2.8046733506308784E-2</v>
      </c>
      <c r="J86" s="312">
        <f>IF('Fin Statement'!J88="","",'Fin Statement'!J88/'Fin Statement'!J9)</f>
        <v>5.3980448433274084E-2</v>
      </c>
      <c r="K86" s="312">
        <f>IF('Fin Statement'!K88="","",'Fin Statement'!K88/'Fin Statement'!K9)</f>
        <v>7.4143839303538878E-2</v>
      </c>
      <c r="L86" s="312">
        <f>IF('Fin Statement'!L88="","",'Fin Statement'!L88/'Fin Statement'!L9)</f>
        <v>0.1133929051797653</v>
      </c>
      <c r="M86" s="312">
        <f>IF('Fin Statement'!M88="","",'Fin Statement'!M88/'Fin Statement'!M9)</f>
        <v>0.13674461975586213</v>
      </c>
      <c r="N86" s="312">
        <f>IF('Fin Statement'!N88="","",'Fin Statement'!N88/'Fin Statement'!N9)</f>
        <v>0.16454112342073607</v>
      </c>
    </row>
    <row r="87" spans="2:14" x14ac:dyDescent="0.35">
      <c r="B87" t="s">
        <v>75</v>
      </c>
      <c r="D87" s="95"/>
      <c r="E87" s="42">
        <f>IF('Fin Statement'!E89="","",'Fin Statement'!E89/'Fin Statement'!E9)</f>
        <v>7.174055580773693E-2</v>
      </c>
      <c r="F87" s="42">
        <f>IF('Fin Statement'!F89="","",'Fin Statement'!F89/'Fin Statement'!F9)</f>
        <v>6.5738621617157822E-2</v>
      </c>
      <c r="G87" s="42">
        <f>IF('Fin Statement'!G89="","",'Fin Statement'!G89/'Fin Statement'!G9)</f>
        <v>0.14157847928786482</v>
      </c>
      <c r="H87" s="42">
        <f>IF('Fin Statement'!H89="","",'Fin Statement'!H89/'Fin Statement'!H9)</f>
        <v>6.5010435745623374E-2</v>
      </c>
      <c r="I87" s="43">
        <f>IF('Fin Statement'!I89="","",'Fin Statement'!I89/'Fin Statement'!I9)</f>
        <v>9.1134556215514154E-2</v>
      </c>
      <c r="J87" s="44">
        <f>IF('Fin Statement'!J89="","",'Fin Statement'!J89/'Fin Statement'!J9)</f>
        <v>5.3675490419892828E-2</v>
      </c>
      <c r="K87" s="44">
        <f>IF('Fin Statement'!K89="","",'Fin Statement'!K89/'Fin Statement'!K9)</f>
        <v>9.1223681649791943E-2</v>
      </c>
      <c r="L87" s="44">
        <f>IF('Fin Statement'!L89="","",'Fin Statement'!L89/'Fin Statement'!L9)</f>
        <v>0.14187172066094567</v>
      </c>
      <c r="M87" s="44">
        <f>IF('Fin Statement'!M89="","",'Fin Statement'!M89/'Fin Statement'!M9)</f>
        <v>0.22152877581460967</v>
      </c>
      <c r="N87" s="44">
        <f>IF('Fin Statement'!N89="","",'Fin Statement'!N89/'Fin Statement'!N9)</f>
        <v>0.31550250824840725</v>
      </c>
    </row>
    <row r="88" spans="2:14" x14ac:dyDescent="0.35">
      <c r="B88" s="79" t="s">
        <v>76</v>
      </c>
      <c r="C88" s="79"/>
      <c r="D88" s="104"/>
      <c r="E88" s="310">
        <f>IF('Fin Statement'!E90="","",'Fin Statement'!E90/'Fin Statement'!E9)</f>
        <v>7.0262772986331767E-2</v>
      </c>
      <c r="F88" s="310">
        <f>IF('Fin Statement'!F90="","",'Fin Statement'!F90/'Fin Statement'!F9)</f>
        <v>0.16376377321095723</v>
      </c>
      <c r="G88" s="310">
        <f>IF('Fin Statement'!G90="","",'Fin Statement'!G90/'Fin Statement'!G9)</f>
        <v>7.4717895578528246E-2</v>
      </c>
      <c r="H88" s="310">
        <f>IF('Fin Statement'!H90="","",'Fin Statement'!H90/'Fin Statement'!H9)</f>
        <v>0.10734619698712215</v>
      </c>
      <c r="I88" s="311">
        <f>IF('Fin Statement'!I90="","",'Fin Statement'!I90/'Fin Statement'!I9)</f>
        <v>6.3087822709205363E-2</v>
      </c>
      <c r="J88" s="312">
        <f>IF('Fin Statement'!J90="","",'Fin Statement'!J90/'Fin Statement'!J9)</f>
        <v>0.10765593885316692</v>
      </c>
      <c r="K88" s="312">
        <f>IF('Fin Statement'!K90="","",'Fin Statement'!K90/'Fin Statement'!K9)</f>
        <v>0.16536752095333082</v>
      </c>
      <c r="L88" s="312">
        <f>IF('Fin Statement'!L90="","",'Fin Statement'!L90/'Fin Statement'!L9)</f>
        <v>0.25526462584071097</v>
      </c>
      <c r="M88" s="312">
        <f>IF('Fin Statement'!M90="","",'Fin Statement'!M90/'Fin Statement'!M9)</f>
        <v>0.35827339557047178</v>
      </c>
      <c r="N88" s="312">
        <f>IF('Fin Statement'!N90="","",'Fin Statement'!N90/'Fin Statement'!N9)</f>
        <v>0.48004363166914332</v>
      </c>
    </row>
    <row r="92" spans="2:14" x14ac:dyDescent="0.35">
      <c r="B92" s="56" t="s">
        <v>78</v>
      </c>
      <c r="E92" s="57" t="s">
        <v>3</v>
      </c>
      <c r="F92" s="58"/>
      <c r="G92" s="58"/>
      <c r="H92" s="58"/>
      <c r="I92" s="58" t="s">
        <v>1113</v>
      </c>
      <c r="J92" s="59"/>
      <c r="K92" s="59"/>
      <c r="L92" s="59"/>
      <c r="M92" s="59"/>
      <c r="N92" s="59"/>
    </row>
    <row r="93" spans="2:14" x14ac:dyDescent="0.35">
      <c r="B93" s="76" t="s">
        <v>114</v>
      </c>
      <c r="E93" s="62" t="str">
        <f>(2021+COLUMN()-COLUMN($D$5))&amp;IF(COLUMN()-COLUMN($D$5)&lt;5,"A","E")</f>
        <v>2022A</v>
      </c>
      <c r="F93" s="62" t="str">
        <f>(2021+COLUMN()-COLUMN($D$5))&amp;IF(COLUMN()-COLUMN($D$5)&lt;5,"A","E")</f>
        <v>2023A</v>
      </c>
      <c r="G93" s="62" t="str">
        <f>(2021+COLUMN()-COLUMN($D$5))&amp;IF(COLUMN()-COLUMN($D$5)&lt;5,"A","E")</f>
        <v>2024A</v>
      </c>
      <c r="H93" s="62" t="str">
        <f>(2021+COLUMN()-COLUMN($D$5))&amp;IF(COLUMN()-COLUMN($D$5)&lt;5,"A","E")</f>
        <v>2025A</v>
      </c>
      <c r="I93" s="77" t="s">
        <v>5</v>
      </c>
      <c r="J93" s="63" t="str">
        <f>(2021+COLUMN()-COLUMN($D$5))&amp;IF(COLUMN()-COLUMN($D$5)&lt;5,"A","E")</f>
        <v>2027E</v>
      </c>
      <c r="K93" s="63" t="str">
        <f>(2021+COLUMN()-COLUMN($D$5))&amp;IF(COLUMN()-COLUMN($D$5)&lt;5,"A","E")</f>
        <v>2028E</v>
      </c>
      <c r="L93" s="63" t="str">
        <f>(2021+COLUMN()-COLUMN($D$5))&amp;IF(COLUMN()-COLUMN($D$5)&lt;5,"A","E")</f>
        <v>2029E</v>
      </c>
      <c r="M93" s="63" t="str">
        <f>(2021+COLUMN()-COLUMN($D$5))&amp;IF(COLUMN()-COLUMN($D$5)&lt;5,"A","E")</f>
        <v>2030E</v>
      </c>
      <c r="N93" s="63" t="str">
        <f>(2021+COLUMN()-COLUMN($D$5))&amp;IF(COLUMN()-COLUMN($D$5)&lt;5,"A","E")</f>
        <v>2031E</v>
      </c>
    </row>
    <row r="94" spans="2:14" x14ac:dyDescent="0.35">
      <c r="B94" s="65" t="s">
        <v>79</v>
      </c>
    </row>
    <row r="95" spans="2:14" x14ac:dyDescent="0.35">
      <c r="B95" s="1" t="s">
        <v>80</v>
      </c>
    </row>
    <row r="96" spans="2:14" x14ac:dyDescent="0.35">
      <c r="B96" s="84" t="s">
        <v>115</v>
      </c>
      <c r="D96" s="95"/>
      <c r="E96" s="42">
        <f>IF(OR('Fin Statement'!E109="",'Fin Statement'!E109=0),"",SUM('Fin Statement'!E98:'Fin Statement'!E99)/'Fin Statement'!E109)</f>
        <v>0.28713134524723166</v>
      </c>
      <c r="F96" s="42">
        <f>IF(OR('Fin Statement'!F109="",'Fin Statement'!F109=0),"",SUM('Fin Statement'!F98:'Fin Statement'!F99)/'Fin Statement'!F109)</f>
        <v>0.27006913024059653</v>
      </c>
      <c r="G96" s="42">
        <f>IF(OR('Fin Statement'!G109="",'Fin Statement'!G109=0),"",SUM('Fin Statement'!G98:'Fin Statement'!G99)/'Fin Statement'!G109)</f>
        <v>0.14749796451520317</v>
      </c>
      <c r="H96" s="42">
        <f>IF(OR('Fin Statement'!H109="",'Fin Statement'!H109=0),"",SUM('Fin Statement'!H98:'Fin Statement'!H99)/'Fin Statement'!H109)</f>
        <v>0.15276985733510176</v>
      </c>
      <c r="I96" s="43">
        <f>IF(OR('Fin Statement'!I109="",'Fin Statement'!I109=0),"",SUM('Fin Statement'!I98:'Fin Statement'!I99)/'Fin Statement'!I109)</f>
        <v>0.10132572760741373</v>
      </c>
      <c r="J96" s="44">
        <f>IF(OR('Fin Statement'!J109="",'Fin Statement'!J109=0),"",SUM('Fin Statement'!J98:'Fin Statement'!J99)/'Fin Statement'!J109)</f>
        <v>0.11101182393152903</v>
      </c>
      <c r="K96" s="44">
        <f>IF(OR('Fin Statement'!K109="",'Fin Statement'!K109=0),"",SUM('Fin Statement'!K98:'Fin Statement'!K99)/'Fin Statement'!K109)</f>
        <v>0.13495952748402731</v>
      </c>
      <c r="L96" s="44">
        <f>IF(OR('Fin Statement'!L109="",'Fin Statement'!L109=0),"",SUM('Fin Statement'!L98:'Fin Statement'!L99)/'Fin Statement'!L109)</f>
        <v>0.17082668901738124</v>
      </c>
      <c r="M96" s="44">
        <f>IF(OR('Fin Statement'!M109="",'Fin Statement'!M109=0),"",SUM('Fin Statement'!M98:'Fin Statement'!M99)/'Fin Statement'!M109)</f>
        <v>0.20989758256712959</v>
      </c>
      <c r="N96" s="44">
        <f>IF(OR('Fin Statement'!N109="",'Fin Statement'!N109=0),"",SUM('Fin Statement'!N98:'Fin Statement'!N99)/'Fin Statement'!N109)</f>
        <v>0.25264261480232725</v>
      </c>
    </row>
    <row r="97" spans="2:14" x14ac:dyDescent="0.35">
      <c r="B97" s="82" t="s">
        <v>50</v>
      </c>
      <c r="D97" s="95"/>
      <c r="E97" s="42">
        <f>IF('Fin Statement'!E100="","",'Fin Statement'!E100/'Fin Statement'!E109)</f>
        <v>0.12131619339984651</v>
      </c>
      <c r="F97" s="42">
        <f>IF('Fin Statement'!F100="","",'Fin Statement'!F100/'Fin Statement'!F109)</f>
        <v>0.1181816416490281</v>
      </c>
      <c r="G97" s="42">
        <f>IF('Fin Statement'!G100="","",'Fin Statement'!G100/'Fin Statement'!G109)</f>
        <v>0.11114430366894915</v>
      </c>
      <c r="H97" s="42">
        <f>IF('Fin Statement'!H100="","",'Fin Statement'!H100/'Fin Statement'!H109)</f>
        <v>0.11293160130080145</v>
      </c>
      <c r="I97" s="43">
        <f>IF('Fin Statement'!I100="","",'Fin Statement'!I100/'Fin Statement'!I109)</f>
        <v>0.10664367015833834</v>
      </c>
      <c r="J97" s="44">
        <f>IF('Fin Statement'!J100="","",'Fin Statement'!J100/'Fin Statement'!J109)</f>
        <v>0.10505729711014551</v>
      </c>
      <c r="K97" s="44">
        <f>IF('Fin Statement'!K100="","",'Fin Statement'!K100/'Fin Statement'!K109)</f>
        <v>0.10434790329333535</v>
      </c>
      <c r="L97" s="44">
        <f>IF('Fin Statement'!L100="","",'Fin Statement'!L100/'Fin Statement'!L109)</f>
        <v>0.10162646840731045</v>
      </c>
      <c r="M97" s="44">
        <f>IF('Fin Statement'!M100="","",'Fin Statement'!M100/'Fin Statement'!M109)</f>
        <v>9.956343378415812E-2</v>
      </c>
      <c r="N97" s="44">
        <f>IF('Fin Statement'!N100="","",'Fin Statement'!N100/'Fin Statement'!N109)</f>
        <v>9.5578975164912539E-2</v>
      </c>
    </row>
    <row r="98" spans="2:14" x14ac:dyDescent="0.35">
      <c r="B98" s="1" t="s">
        <v>51</v>
      </c>
      <c r="D98" s="95"/>
      <c r="E98" s="42">
        <f>IF('Fin Statement'!E101="","",'Fin Statement'!E101/'Fin Statement'!E109)</f>
        <v>1.0256550816796405E-2</v>
      </c>
      <c r="F98" s="42">
        <f>IF('Fin Statement'!F101="","",'Fin Statement'!F101/'Fin Statement'!F109)</f>
        <v>6.0683146591063554E-3</v>
      </c>
      <c r="G98" s="42">
        <f>IF('Fin Statement'!G101="","",'Fin Statement'!G101/'Fin Statement'!G109)</f>
        <v>2.4328192391875241E-3</v>
      </c>
      <c r="H98" s="42">
        <f>IF('Fin Statement'!H101="","",'Fin Statement'!H101/'Fin Statement'!H109)</f>
        <v>1.5153399902746837E-3</v>
      </c>
      <c r="I98" s="43">
        <f>IF('Fin Statement'!I101="","",'Fin Statement'!I101/'Fin Statement'!I109)</f>
        <v>1.8420941590978617E-3</v>
      </c>
      <c r="J98" s="44">
        <f>IF('Fin Statement'!J101="","",'Fin Statement'!J101/'Fin Statement'!J109)</f>
        <v>2.0303207980837111E-3</v>
      </c>
      <c r="K98" s="44">
        <f>IF('Fin Statement'!K101="","",'Fin Statement'!K101/'Fin Statement'!K109)</f>
        <v>2.0166111647700758E-3</v>
      </c>
      <c r="L98" s="44">
        <f>IF('Fin Statement'!L101="","",'Fin Statement'!L101/'Fin Statement'!L109)</f>
        <v>1.9747870565511466E-3</v>
      </c>
      <c r="M98" s="44">
        <f>IF('Fin Statement'!M101="","",'Fin Statement'!M101/'Fin Statement'!M109)</f>
        <v>1.9233845162848727E-3</v>
      </c>
      <c r="N98" s="44">
        <f>IF('Fin Statement'!N101="","",'Fin Statement'!N101/'Fin Statement'!N109)</f>
        <v>1.8566490578011748E-3</v>
      </c>
    </row>
    <row r="99" spans="2:14" x14ac:dyDescent="0.35">
      <c r="B99" s="1" t="s">
        <v>52</v>
      </c>
      <c r="D99" s="95"/>
      <c r="E99" s="42">
        <f>IF('Fin Statement'!E102="","",'Fin Statement'!E102/'Fin Statement'!E109)</f>
        <v>4.6387457515623287E-2</v>
      </c>
      <c r="F99" s="42">
        <f>IF('Fin Statement'!F102="","",'Fin Statement'!F102/'Fin Statement'!F109)</f>
        <v>5.2932695108452922E-2</v>
      </c>
      <c r="G99" s="42">
        <f>IF('Fin Statement'!G102="","",'Fin Statement'!G102/'Fin Statement'!G109)</f>
        <v>5.0806091029613622E-2</v>
      </c>
      <c r="H99" s="42">
        <f>IF('Fin Statement'!H102="","",'Fin Statement'!H102/'Fin Statement'!H109)</f>
        <v>4.1555533656541244E-2</v>
      </c>
      <c r="I99" s="43">
        <f>IF('Fin Statement'!I102="","",'Fin Statement'!I102/'Fin Statement'!I109)</f>
        <v>6.4076394822620966E-2</v>
      </c>
      <c r="J99" s="44">
        <f>IF('Fin Statement'!J102="","",'Fin Statement'!J102/'Fin Statement'!J109)</f>
        <v>5.3680281706923405E-2</v>
      </c>
      <c r="K99" s="44">
        <f>IF('Fin Statement'!K102="","",'Fin Statement'!K102/'Fin Statement'!K109)</f>
        <v>4.5179549189256103E-2</v>
      </c>
      <c r="L99" s="44">
        <f>IF('Fin Statement'!L102="","",'Fin Statement'!L102/'Fin Statement'!L109)</f>
        <v>3.8178420282539968E-2</v>
      </c>
      <c r="M99" s="44">
        <f>IF('Fin Statement'!M102="","",'Fin Statement'!M102/'Fin Statement'!M109)</f>
        <v>3.2460148286171477E-2</v>
      </c>
      <c r="N99" s="44">
        <f>IF('Fin Statement'!N102="","",'Fin Statement'!N102/'Fin Statement'!N109)</f>
        <v>2.7756498495280807E-2</v>
      </c>
    </row>
    <row r="100" spans="2:14" x14ac:dyDescent="0.35">
      <c r="B100" s="83" t="s">
        <v>83</v>
      </c>
      <c r="C100" s="79"/>
      <c r="D100" s="104"/>
      <c r="E100" s="310">
        <f>IF('Fin Statement'!E103="","",'Fin Statement'!E103/'Fin Statement'!E109)</f>
        <v>0.46509154697949784</v>
      </c>
      <c r="F100" s="310">
        <f>IF('Fin Statement'!F103="","",'Fin Statement'!F103/'Fin Statement'!F109)</f>
        <v>0.44725178165718393</v>
      </c>
      <c r="G100" s="310">
        <f>IF('Fin Statement'!G103="","",'Fin Statement'!G103/'Fin Statement'!G109)</f>
        <v>0.31188117845295343</v>
      </c>
      <c r="H100" s="310">
        <f>IF('Fin Statement'!H103="","",'Fin Statement'!H103/'Fin Statement'!H109)</f>
        <v>0.30877233228271916</v>
      </c>
      <c r="I100" s="311">
        <f>IF('Fin Statement'!I103="","",'Fin Statement'!I103/'Fin Statement'!I109)</f>
        <v>0.27388788674747089</v>
      </c>
      <c r="J100" s="312">
        <f>IF('Fin Statement'!J103="","",'Fin Statement'!J103/'Fin Statement'!J109)</f>
        <v>0.27177972354668167</v>
      </c>
      <c r="K100" s="312">
        <f>IF('Fin Statement'!K103="","",'Fin Statement'!K103/'Fin Statement'!K109)</f>
        <v>0.28650359113138879</v>
      </c>
      <c r="L100" s="312">
        <f>IF('Fin Statement'!L103="","",'Fin Statement'!L103/'Fin Statement'!L109)</f>
        <v>0.31260636476378278</v>
      </c>
      <c r="M100" s="312">
        <f>IF('Fin Statement'!M103="","",'Fin Statement'!M103/'Fin Statement'!M109)</f>
        <v>0.34384454915374407</v>
      </c>
      <c r="N100" s="312">
        <f>IF('Fin Statement'!N103="","",'Fin Statement'!N103/'Fin Statement'!N109)</f>
        <v>0.37783473752032171</v>
      </c>
    </row>
    <row r="101" spans="2:14" x14ac:dyDescent="0.35">
      <c r="B101" s="82" t="s">
        <v>84</v>
      </c>
      <c r="D101" s="95"/>
      <c r="E101" s="42">
        <f>IF('Fin Statement'!E104="","",'Fin Statement'!E104/'Fin Statement'!E109)</f>
        <v>0.20391952636772284</v>
      </c>
      <c r="F101" s="42">
        <f>IF('Fin Statement'!F104="","",'Fin Statement'!F104/'Fin Statement'!F109)</f>
        <v>0.23215187292463638</v>
      </c>
      <c r="G101" s="42">
        <f>IF('Fin Statement'!G104="","",'Fin Statement'!G104/'Fin Statement'!G109)</f>
        <v>0.26474188881274124</v>
      </c>
      <c r="H101" s="42">
        <f>IF('Fin Statement'!H104="","",'Fin Statement'!H104/'Fin Statement'!H109)</f>
        <v>0.33112278938874284</v>
      </c>
      <c r="I101" s="43">
        <f>IF('Fin Statement'!I104="","",'Fin Statement'!I104/'Fin Statement'!I109)</f>
        <v>0.41282424549300084</v>
      </c>
      <c r="J101" s="44">
        <f>IF('Fin Statement'!J104="","",'Fin Statement'!J104/'Fin Statement'!J109)</f>
        <v>0.46097957933519879</v>
      </c>
      <c r="K101" s="44">
        <f>IF('Fin Statement'!K104="","",'Fin Statement'!K104/'Fin Statement'!K109)</f>
        <v>0.48532357655870279</v>
      </c>
      <c r="L101" s="44">
        <f>IF('Fin Statement'!L104="","",'Fin Statement'!L104/'Fin Statement'!L109)</f>
        <v>0.49270127208351988</v>
      </c>
      <c r="M101" s="44">
        <f>IF('Fin Statement'!M104="","",'Fin Statement'!M104/'Fin Statement'!M109)</f>
        <v>0.48936144719878261</v>
      </c>
      <c r="N101" s="44">
        <f>IF('Fin Statement'!N104="","",'Fin Statement'!N104/'Fin Statement'!N109)</f>
        <v>0.47887564961515294</v>
      </c>
    </row>
    <row r="102" spans="2:14" x14ac:dyDescent="0.35">
      <c r="B102" s="1" t="s">
        <v>85</v>
      </c>
      <c r="D102" s="95"/>
      <c r="E102" s="42">
        <f>IF('Fin Statement'!E105="","",'Fin Statement'!E105/'Fin Statement'!E109)</f>
        <v>3.6037715162811096E-2</v>
      </c>
      <c r="F102" s="42">
        <f>IF('Fin Statement'!F105="","",'Fin Statement'!F105/'Fin Statement'!F109)</f>
        <v>3.4822416839815913E-2</v>
      </c>
      <c r="G102" s="42">
        <f>IF('Fin Statement'!G105="","",'Fin Statement'!G105/'Fin Statement'!G109)</f>
        <v>3.7021417009819139E-2</v>
      </c>
      <c r="H102" s="42">
        <f>IF('Fin Statement'!H105="","",'Fin Statement'!H105/'Fin Statement'!H109)</f>
        <v>4.0101582706384302E-2</v>
      </c>
      <c r="I102" s="43">
        <f>IF('Fin Statement'!I105="","",'Fin Statement'!I105/'Fin Statement'!I109)</f>
        <v>3.1879964555840377E-2</v>
      </c>
      <c r="J102" s="44">
        <f>IF('Fin Statement'!J105="","",'Fin Statement'!J105/'Fin Statement'!J109)</f>
        <v>3.4528114734443269E-2</v>
      </c>
      <c r="K102" s="44">
        <f>IF('Fin Statement'!K105="","",'Fin Statement'!K105/'Fin Statement'!K109)</f>
        <v>3.4037266420050317E-2</v>
      </c>
      <c r="L102" s="44">
        <f>IF('Fin Statement'!L105="","",'Fin Statement'!L105/'Fin Statement'!L109)</f>
        <v>3.1952112584076382E-2</v>
      </c>
      <c r="M102" s="44">
        <f>IF('Fin Statement'!M105="","",'Fin Statement'!M105/'Fin Statement'!M109)</f>
        <v>2.923052814945783E-2</v>
      </c>
      <c r="N102" s="44">
        <f>IF('Fin Statement'!N105="","",'Fin Statement'!N105/'Fin Statement'!N109)</f>
        <v>2.6345024210266167E-2</v>
      </c>
    </row>
    <row r="103" spans="2:14" x14ac:dyDescent="0.35">
      <c r="B103" s="1" t="s">
        <v>86</v>
      </c>
      <c r="D103" s="95"/>
      <c r="E103" s="42">
        <f>IF('Fin Statement'!E106="","",'Fin Statement'!E106/'Fin Statement'!E109)</f>
        <v>1.8887731608376274E-2</v>
      </c>
      <c r="F103" s="42">
        <f>IF('Fin Statement'!F106="","",'Fin Statement'!F106/'Fin Statement'!F109)</f>
        <v>2.3979552206924677E-2</v>
      </c>
      <c r="G103" s="42">
        <f>IF('Fin Statement'!G106="","",'Fin Statement'!G106/'Fin Statement'!G109)</f>
        <v>2.8506549672662803E-2</v>
      </c>
      <c r="H103" s="42">
        <f>IF('Fin Statement'!H106="","",'Fin Statement'!H106/'Fin Statement'!H109)</f>
        <v>2.4886793763519724E-2</v>
      </c>
      <c r="I103" s="43">
        <f>IF('Fin Statement'!I106="","",'Fin Statement'!I106/'Fin Statement'!I109)</f>
        <v>4.7928731921896263E-2</v>
      </c>
      <c r="J103" s="44">
        <f>IF('Fin Statement'!J106="","",'Fin Statement'!J106/'Fin Statement'!J109)</f>
        <v>4.0353268590374698E-2</v>
      </c>
      <c r="K103" s="44">
        <f>IF('Fin Statement'!K106="","",'Fin Statement'!K106/'Fin Statement'!K109)</f>
        <v>3.4132797693681105E-2</v>
      </c>
      <c r="L103" s="44">
        <f>IF('Fin Statement'!L106="","",'Fin Statement'!L106/'Fin Statement'!L109)</f>
        <v>2.8987716804366664E-2</v>
      </c>
      <c r="M103" s="44">
        <f>IF('Fin Statement'!M106="","",'Fin Statement'!M106/'Fin Statement'!M109)</f>
        <v>2.4769236308855202E-2</v>
      </c>
      <c r="N103" s="44">
        <f>IF('Fin Statement'!N106="","",'Fin Statement'!N106/'Fin Statement'!N109)</f>
        <v>2.1285941166880842E-2</v>
      </c>
    </row>
    <row r="104" spans="2:14" x14ac:dyDescent="0.35">
      <c r="B104" s="84" t="s">
        <v>87</v>
      </c>
      <c r="D104" s="95"/>
      <c r="E104" s="42">
        <f>IF('Fin Statement'!E107="","",'Fin Statement'!E107/'Fin Statement'!E109)</f>
        <v>0.21604538975989473</v>
      </c>
      <c r="F104" s="42">
        <f>IF('Fin Statement'!F107="","",'Fin Statement'!F107/'Fin Statement'!F109)</f>
        <v>0.18751577761811367</v>
      </c>
      <c r="G104" s="42">
        <f>IF('Fin Statement'!G107="","",'Fin Statement'!G107/'Fin Statement'!G109)</f>
        <v>0.28666069200625582</v>
      </c>
      <c r="H104" s="42">
        <f>IF('Fin Statement'!H107="","",'Fin Statement'!H107/'Fin Statement'!H109)</f>
        <v>0.22958370153294896</v>
      </c>
      <c r="I104" s="42">
        <f>IF('Fin Statement'!I107="","",'Fin Statement'!I107/'Fin Statement'!I109)</f>
        <v>0.18231062164414485</v>
      </c>
      <c r="J104" s="44">
        <f>IF('Fin Statement'!J107="","",'Fin Statement'!J107/'Fin Statement'!J109)</f>
        <v>0.14949263618624792</v>
      </c>
      <c r="K104" s="44">
        <f>IF('Fin Statement'!K107="","",'Fin Statement'!K107/'Fin Statement'!K109)</f>
        <v>0.12392439625130562</v>
      </c>
      <c r="L104" s="44">
        <f>IF('Fin Statement'!L107="","",'Fin Statement'!L107/'Fin Statement'!L109)</f>
        <v>0.10326495095436074</v>
      </c>
      <c r="M104" s="44">
        <f>IF('Fin Statement'!M107="","",'Fin Statement'!M107/'Fin Statement'!M109)</f>
        <v>8.6873013230299473E-2</v>
      </c>
      <c r="N104" s="44">
        <f>IF('Fin Statement'!N107="","",'Fin Statement'!N107/'Fin Statement'!N109)</f>
        <v>7.34935463615322E-2</v>
      </c>
    </row>
    <row r="105" spans="2:14" x14ac:dyDescent="0.35">
      <c r="B105" s="1" t="s">
        <v>53</v>
      </c>
      <c r="D105" s="95"/>
      <c r="E105" s="42">
        <f>IF('Fin Statement'!E108="","",'Fin Statement'!E108/'Fin Statement'!E109)</f>
        <v>6.0018090121697183E-2</v>
      </c>
      <c r="F105" s="42">
        <f>IF('Fin Statement'!F108="","",'Fin Statement'!F108/'Fin Statement'!F109)</f>
        <v>7.4278598753325431E-2</v>
      </c>
      <c r="G105" s="42">
        <f>IF('Fin Statement'!G108="","",'Fin Statement'!G108/'Fin Statement'!G109)</f>
        <v>7.1188274045567518E-2</v>
      </c>
      <c r="H105" s="42">
        <f>IF('Fin Statement'!H108="","",'Fin Statement'!H108/'Fin Statement'!H109)</f>
        <v>6.5532800325685009E-2</v>
      </c>
      <c r="I105" s="43">
        <f>IF('Fin Statement'!I108="","",'Fin Statement'!I108/'Fin Statement'!I109)</f>
        <v>5.1168549637646762E-2</v>
      </c>
      <c r="J105" s="44">
        <f>IF('Fin Statement'!J108="","",'Fin Statement'!J108/'Fin Statement'!J109)</f>
        <v>4.2866677607053601E-2</v>
      </c>
      <c r="K105" s="44">
        <f>IF('Fin Statement'!K108="","",'Fin Statement'!K108/'Fin Statement'!K109)</f>
        <v>3.6078371944871443E-2</v>
      </c>
      <c r="L105" s="44">
        <f>IF('Fin Statement'!L108="","",'Fin Statement'!L108/'Fin Statement'!L109)</f>
        <v>3.0487582809893471E-2</v>
      </c>
      <c r="M105" s="44">
        <f>IF('Fin Statement'!M108="","",'Fin Statement'!M108/'Fin Statement'!M109)</f>
        <v>2.5921225958860847E-2</v>
      </c>
      <c r="N105" s="44">
        <f>IF('Fin Statement'!N108="","",'Fin Statement'!N108/'Fin Statement'!N109)</f>
        <v>2.2165101125846229E-2</v>
      </c>
    </row>
    <row r="106" spans="2:14" ht="15" thickBot="1" x14ac:dyDescent="0.4">
      <c r="B106" s="85" t="s">
        <v>88</v>
      </c>
      <c r="C106" s="73"/>
      <c r="D106" s="102"/>
      <c r="E106" s="313">
        <f>IF('Fin Statement'!E109="","",'Fin Statement'!E109/'Fin Statement'!E109)</f>
        <v>1</v>
      </c>
      <c r="F106" s="313">
        <f>IF('Fin Statement'!F109="","",'Fin Statement'!F109/'Fin Statement'!F109)</f>
        <v>1</v>
      </c>
      <c r="G106" s="313">
        <f>IF('Fin Statement'!G109="","",'Fin Statement'!G109/'Fin Statement'!G109)</f>
        <v>1</v>
      </c>
      <c r="H106" s="313">
        <f>IF('Fin Statement'!H109="","",'Fin Statement'!H109/'Fin Statement'!H109)</f>
        <v>1</v>
      </c>
      <c r="I106" s="314">
        <f>IF('Fin Statement'!I109="","",'Fin Statement'!I109/'Fin Statement'!I109)</f>
        <v>1</v>
      </c>
      <c r="J106" s="307">
        <f>IF('Fin Statement'!J109="","",'Fin Statement'!J109/'Fin Statement'!J109)</f>
        <v>1</v>
      </c>
      <c r="K106" s="307">
        <f>IF('Fin Statement'!K109="","",'Fin Statement'!K109/'Fin Statement'!K109)</f>
        <v>1</v>
      </c>
      <c r="L106" s="307">
        <f>IF('Fin Statement'!L109="","",'Fin Statement'!L109/'Fin Statement'!L109)</f>
        <v>1</v>
      </c>
      <c r="M106" s="307">
        <f>IF('Fin Statement'!M109="","",'Fin Statement'!M109/'Fin Statement'!M109)</f>
        <v>1</v>
      </c>
      <c r="N106" s="307">
        <f>IF('Fin Statement'!N109="","",'Fin Statement'!N109/'Fin Statement'!N109)</f>
        <v>1</v>
      </c>
    </row>
    <row r="107" spans="2:14" x14ac:dyDescent="0.35">
      <c r="B107" s="65" t="s">
        <v>89</v>
      </c>
      <c r="E107" s="2"/>
      <c r="F107" s="2"/>
      <c r="G107" s="2"/>
      <c r="H107" s="3"/>
      <c r="I107" s="3"/>
    </row>
    <row r="108" spans="2:14" x14ac:dyDescent="0.35">
      <c r="B108" s="1" t="s">
        <v>90</v>
      </c>
      <c r="E108" s="2"/>
      <c r="F108" s="2"/>
      <c r="G108" s="2"/>
      <c r="H108" s="3"/>
      <c r="I108" s="3"/>
    </row>
    <row r="109" spans="2:14" x14ac:dyDescent="0.35">
      <c r="B109" s="1" t="s">
        <v>55</v>
      </c>
      <c r="D109" s="95"/>
      <c r="E109" s="42">
        <f>IF('Fin Statement'!E112="","",'Fin Statement'!E112/'Fin Statement'!E109)</f>
        <v>5.2077623067646094E-2</v>
      </c>
      <c r="F109" s="42">
        <f>IF('Fin Statement'!F112="","",'Fin Statement'!F112/'Fin Statement'!F109)</f>
        <v>4.3922461502611802E-2</v>
      </c>
      <c r="G109" s="42">
        <f>IF('Fin Statement'!G112="","",'Fin Statement'!G112/'Fin Statement'!G109)</f>
        <v>4.2947264835608977E-2</v>
      </c>
      <c r="H109" s="42">
        <f>IF('Fin Statement'!H112="","",'Fin Statement'!H112/'Fin Statement'!H109)</f>
        <v>4.4788151269056851E-2</v>
      </c>
      <c r="I109" s="43">
        <f>IF('Fin Statement'!I112="","",'Fin Statement'!I112/'Fin Statement'!I109)</f>
        <v>5.5930039980168149E-2</v>
      </c>
      <c r="J109" s="44">
        <f>IF('Fin Statement'!J112="","",'Fin Statement'!J112/'Fin Statement'!J109)</f>
        <v>5.6848982346343904E-2</v>
      </c>
      <c r="K109" s="44">
        <f>IF('Fin Statement'!K112="","",'Fin Statement'!K112/'Fin Statement'!K109)</f>
        <v>5.4448501448792055E-2</v>
      </c>
      <c r="L109" s="44">
        <f>IF('Fin Statement'!L112="","",'Fin Statement'!L112/'Fin Statement'!L109)</f>
        <v>5.1344463470329796E-2</v>
      </c>
      <c r="M109" s="44">
        <f>IF('Fin Statement'!M112="","",'Fin Statement'!M112/'Fin Statement'!M109)</f>
        <v>4.8084612907121821E-2</v>
      </c>
      <c r="N109" s="44">
        <f>IF('Fin Statement'!N112="","",'Fin Statement'!N112/'Fin Statement'!N109)</f>
        <v>4.455957738722819E-2</v>
      </c>
    </row>
    <row r="110" spans="2:14" x14ac:dyDescent="0.35">
      <c r="B110" s="1" t="s">
        <v>91</v>
      </c>
      <c r="D110" s="95"/>
      <c r="E110" s="42">
        <f>IF('Fin Statement'!E113="","",'Fin Statement'!E113/'Fin Statement'!E109)</f>
        <v>0</v>
      </c>
      <c r="F110" s="42">
        <f>IF('Fin Statement'!F113="","",'Fin Statement'!F113/'Fin Statement'!F109)</f>
        <v>0</v>
      </c>
      <c r="G110" s="42">
        <f>IF('Fin Statement'!G113="","",'Fin Statement'!G113/'Fin Statement'!G109)</f>
        <v>1.3068105271173434E-2</v>
      </c>
      <c r="H110" s="42">
        <f>IF('Fin Statement'!H113="","",'Fin Statement'!H113/'Fin Statement'!H109)</f>
        <v>0</v>
      </c>
      <c r="I110" s="43" t="str">
        <f>IF('Fin Statement'!I113="","",'Fin Statement'!I113/'Fin Statement'!I109)</f>
        <v/>
      </c>
      <c r="J110" s="44">
        <f>IF('Fin Statement'!J113="","",'Fin Statement'!J113/'Fin Statement'!J109)</f>
        <v>0</v>
      </c>
      <c r="K110" s="44">
        <f>IF('Fin Statement'!K113="","",'Fin Statement'!K113/'Fin Statement'!K109)</f>
        <v>0</v>
      </c>
      <c r="L110" s="44">
        <f>IF('Fin Statement'!L113="","",'Fin Statement'!L113/'Fin Statement'!L109)</f>
        <v>0</v>
      </c>
      <c r="M110" s="44">
        <f>IF('Fin Statement'!M113="","",'Fin Statement'!M113/'Fin Statement'!M109)</f>
        <v>0</v>
      </c>
      <c r="N110" s="44">
        <f>IF('Fin Statement'!N113="","",'Fin Statement'!N113/'Fin Statement'!N109)</f>
        <v>0</v>
      </c>
    </row>
    <row r="111" spans="2:14" x14ac:dyDescent="0.35">
      <c r="B111" s="1" t="s">
        <v>92</v>
      </c>
      <c r="D111" s="95"/>
      <c r="E111" s="42">
        <f>IF('Fin Statement'!E114="","",'Fin Statement'!E114/'Fin Statement'!E109)</f>
        <v>7.5348097796294269E-3</v>
      </c>
      <c r="F111" s="42">
        <f>IF('Fin Statement'!F114="","",'Fin Statement'!F114/'Fin Statement'!F109)</f>
        <v>1.273617880653242E-2</v>
      </c>
      <c r="G111" s="42">
        <f>IF('Fin Statement'!G114="","",'Fin Statement'!G114/'Fin Statement'!G109)</f>
        <v>4.3911801516314146E-3</v>
      </c>
      <c r="H111" s="42">
        <f>IF('Fin Statement'!H114="","",'Fin Statement'!H114/'Fin Statement'!H109)</f>
        <v>4.8448876661340897E-3</v>
      </c>
      <c r="I111" s="43">
        <f>IF('Fin Statement'!I114="","",'Fin Statement'!I114/'Fin Statement'!I109)</f>
        <v>1.2166787978522527E-2</v>
      </c>
      <c r="J111" s="44">
        <f>IF('Fin Statement'!J114="","",'Fin Statement'!J114/'Fin Statement'!J109)</f>
        <v>3.3140067728684658E-3</v>
      </c>
      <c r="K111" s="44">
        <f>IF('Fin Statement'!K114="","",'Fin Statement'!K114/'Fin Statement'!K109)</f>
        <v>1.2086556765451069E-3</v>
      </c>
      <c r="L111" s="44">
        <f>IF('Fin Statement'!L114="","",'Fin Statement'!L114/'Fin Statement'!L109)</f>
        <v>1.8070207566745261E-3</v>
      </c>
      <c r="M111" s="44">
        <f>IF('Fin Statement'!M114="","",'Fin Statement'!M114/'Fin Statement'!M109)</f>
        <v>1.3359735064481819E-3</v>
      </c>
      <c r="N111" s="44">
        <f>IF('Fin Statement'!N114="","",'Fin Statement'!N114/'Fin Statement'!N109)</f>
        <v>0</v>
      </c>
    </row>
    <row r="112" spans="2:14" x14ac:dyDescent="0.35">
      <c r="B112" s="1" t="s">
        <v>93</v>
      </c>
      <c r="D112" s="95"/>
      <c r="E112" s="42">
        <f>IF('Fin Statement'!E115="","",'Fin Statement'!E115/'Fin Statement'!E109)</f>
        <v>2.9221028396009211E-2</v>
      </c>
      <c r="F112" s="42">
        <f>IF('Fin Statement'!F115="","",'Fin Statement'!F115/'Fin Statement'!F109)</f>
        <v>2.6722430432840748E-2</v>
      </c>
      <c r="G112" s="42">
        <f>IF('Fin Statement'!G115="","",'Fin Statement'!G115/'Fin Statement'!G109)</f>
        <v>2.4531252745707909E-2</v>
      </c>
      <c r="H112" s="42">
        <f>IF('Fin Statement'!H115="","",'Fin Statement'!H115/'Fin Statement'!H109)</f>
        <v>2.2146903973001748E-2</v>
      </c>
      <c r="I112" s="43">
        <f>IF('Fin Statement'!I115="","",'Fin Statement'!I115/'Fin Statement'!I109)</f>
        <v>1.9706583541673258E-2</v>
      </c>
      <c r="J112" s="44">
        <f>IF('Fin Statement'!J115="","",'Fin Statement'!J115/'Fin Statement'!J109)</f>
        <v>1.9404281859798617E-2</v>
      </c>
      <c r="K112" s="44">
        <f>IF('Fin Statement'!K115="","",'Fin Statement'!K115/'Fin Statement'!K109)</f>
        <v>1.9273255477532652E-2</v>
      </c>
      <c r="L112" s="44">
        <f>IF('Fin Statement'!L115="","",'Fin Statement'!L115/'Fin Statement'!L109)</f>
        <v>1.8983903584430865E-2</v>
      </c>
      <c r="M112" s="44">
        <f>IF('Fin Statement'!M115="","",'Fin Statement'!M115/'Fin Statement'!M109)</f>
        <v>1.8598527107307812E-2</v>
      </c>
      <c r="N112" s="44">
        <f>IF('Fin Statement'!N115="","",'Fin Statement'!N115/'Fin Statement'!N109)</f>
        <v>1.8059448130155784E-2</v>
      </c>
    </row>
    <row r="113" spans="2:14" x14ac:dyDescent="0.35">
      <c r="B113" s="1" t="s">
        <v>94</v>
      </c>
      <c r="D113" s="95"/>
      <c r="E113" s="42">
        <f>IF('Fin Statement'!E116="","",'Fin Statement'!E116/'Fin Statement'!E109)</f>
        <v>1.1147352264006139E-2</v>
      </c>
      <c r="F113" s="42">
        <f>IF('Fin Statement'!F116="","",'Fin Statement'!F116/'Fin Statement'!F109)</f>
        <v>1.0078256985843836E-2</v>
      </c>
      <c r="G113" s="42">
        <f>IF('Fin Statement'!G116="","",'Fin Statement'!G116/'Fin Statement'!G109)</f>
        <v>9.7957095690239249E-3</v>
      </c>
      <c r="H113" s="42">
        <f>IF('Fin Statement'!H116="","",'Fin Statement'!H116/'Fin Statement'!H109)</f>
        <v>1.1649378112868597E-2</v>
      </c>
      <c r="I113" s="43">
        <f>IF('Fin Statement'!I116="","",'Fin Statement'!I116/'Fin Statement'!I109)</f>
        <v>3.3413504646771521E-3</v>
      </c>
      <c r="J113" s="44">
        <f>IF('Fin Statement'!J116="","",'Fin Statement'!J116/'Fin Statement'!J109)</f>
        <v>3.2900936923874005E-3</v>
      </c>
      <c r="K113" s="44">
        <f>IF('Fin Statement'!K116="","",'Fin Statement'!K116/'Fin Statement'!K109)</f>
        <v>3.267877509539495E-3</v>
      </c>
      <c r="L113" s="44">
        <f>IF('Fin Statement'!L116="","",'Fin Statement'!L116/'Fin Statement'!L109)</f>
        <v>3.2188164391400344E-3</v>
      </c>
      <c r="M113" s="44">
        <f>IF('Fin Statement'!M116="","",'Fin Statement'!M116/'Fin Statement'!M109)</f>
        <v>3.1534739170236202E-3</v>
      </c>
      <c r="N113" s="44">
        <f>IF('Fin Statement'!N116="","",'Fin Statement'!N116/'Fin Statement'!N109)</f>
        <v>3.0620703621154067E-3</v>
      </c>
    </row>
    <row r="114" spans="2:14" x14ac:dyDescent="0.35">
      <c r="B114" s="1" t="s">
        <v>95</v>
      </c>
      <c r="D114" s="95"/>
      <c r="E114" s="42">
        <f>IF('Fin Statement'!E117="","",'Fin Statement'!E117/'Fin Statement'!E109)</f>
        <v>0.1248163578554983</v>
      </c>
      <c r="F114" s="42">
        <f>IF('Fin Statement'!F117="","",'Fin Statement'!F117/'Fin Statement'!F109)</f>
        <v>0.12355331378526904</v>
      </c>
      <c r="G114" s="42">
        <f>IF('Fin Statement'!G117="","",'Fin Statement'!G117/'Fin Statement'!G109)</f>
        <v>0.1124290509076212</v>
      </c>
      <c r="H114" s="42">
        <f>IF('Fin Statement'!H117="","",'Fin Statement'!H117/'Fin Statement'!H109)</f>
        <v>0.10428867065264627</v>
      </c>
      <c r="I114" s="43">
        <f>IF('Fin Statement'!I117="","",'Fin Statement'!I117/'Fin Statement'!I109)</f>
        <v>9.621216916147135E-2</v>
      </c>
      <c r="J114" s="44">
        <f>IF('Fin Statement'!J117="","",'Fin Statement'!J117/'Fin Statement'!J109)</f>
        <v>9.0996145164347161E-2</v>
      </c>
      <c r="K114" s="44">
        <f>IF('Fin Statement'!K117="","",'Fin Statement'!K117/'Fin Statement'!K109)</f>
        <v>9.0381698528950949E-2</v>
      </c>
      <c r="L114" s="44">
        <f>IF('Fin Statement'!L117="","",'Fin Statement'!L117/'Fin Statement'!L109)</f>
        <v>8.9024786324803956E-2</v>
      </c>
      <c r="M114" s="44">
        <f>IF('Fin Statement'!M117="","",'Fin Statement'!M117/'Fin Statement'!M109)</f>
        <v>8.7217567994922501E-2</v>
      </c>
      <c r="N114" s="44">
        <f>IF('Fin Statement'!N117="","",'Fin Statement'!N117/'Fin Statement'!N109)</f>
        <v>8.4689563649572169E-2</v>
      </c>
    </row>
    <row r="115" spans="2:14" x14ac:dyDescent="0.35">
      <c r="B115" s="1" t="s">
        <v>58</v>
      </c>
      <c r="D115" s="95"/>
      <c r="E115" s="42">
        <f>IF('Fin Statement'!E118="","",'Fin Statement'!E118/'Fin Statement'!E109)</f>
        <v>3.5815700032891133E-2</v>
      </c>
      <c r="F115" s="42">
        <f>IF('Fin Statement'!F118="","",'Fin Statement'!F118/'Fin Statement'!F109)</f>
        <v>3.5790919859409284E-2</v>
      </c>
      <c r="G115" s="42">
        <f>IF('Fin Statement'!G118="","",'Fin Statement'!G118/'Fin Statement'!G109)</f>
        <v>3.7458777771920269E-2</v>
      </c>
      <c r="H115" s="42">
        <f>IF('Fin Statement'!H118="","",'Fin Statement'!H118/'Fin Statement'!H109)</f>
        <v>4.04198364143631E-2</v>
      </c>
      <c r="I115" s="43">
        <f>IF('Fin Statement'!I118="","",'Fin Statement'!I118/'Fin Statement'!I109)</f>
        <v>3.5256917412998301E-2</v>
      </c>
      <c r="J115" s="44">
        <f>IF('Fin Statement'!J118="","",'Fin Statement'!J118/'Fin Statement'!J109)</f>
        <v>2.2143862637595546E-2</v>
      </c>
      <c r="K115" s="44">
        <f>IF('Fin Statement'!K118="","",'Fin Statement'!K118/'Fin Statement'!K109)</f>
        <v>2.1994337381687483E-2</v>
      </c>
      <c r="L115" s="44">
        <f>IF('Fin Statement'!L118="","",'Fin Statement'!L118/'Fin Statement'!L109)</f>
        <v>2.1664133531781097E-2</v>
      </c>
      <c r="M115" s="44">
        <f>IF('Fin Statement'!M118="","",'Fin Statement'!M118/'Fin Statement'!M109)</f>
        <v>2.1224347930085968E-2</v>
      </c>
      <c r="N115" s="44">
        <f>IF('Fin Statement'!N118="","",'Fin Statement'!N118/'Fin Statement'!N109)</f>
        <v>2.0609159441940909E-2</v>
      </c>
    </row>
    <row r="116" spans="2:14" x14ac:dyDescent="0.35">
      <c r="B116" s="83" t="s">
        <v>96</v>
      </c>
      <c r="C116" s="79"/>
      <c r="D116" s="104"/>
      <c r="E116" s="310">
        <f>IF('Fin Statement'!E119="","",'Fin Statement'!E119/'Fin Statement'!E109)</f>
        <v>0.26061287139568029</v>
      </c>
      <c r="F116" s="310">
        <f>IF('Fin Statement'!F119="","",'Fin Statement'!F119/'Fin Statement'!F109)</f>
        <v>0.25280356137250715</v>
      </c>
      <c r="G116" s="310">
        <f>IF('Fin Statement'!G119="","",'Fin Statement'!G119/'Fin Statement'!G109)</f>
        <v>0.24462134125268714</v>
      </c>
      <c r="H116" s="310">
        <f>IF('Fin Statement'!H119="","",'Fin Statement'!H119/'Fin Statement'!H109)</f>
        <v>0.22813782808807065</v>
      </c>
      <c r="I116" s="311">
        <f>IF('Fin Statement'!I119="","",'Fin Statement'!I119/'Fin Statement'!I109)</f>
        <v>0.22261384853951074</v>
      </c>
      <c r="J116" s="312">
        <f>IF('Fin Statement'!J119="","",'Fin Statement'!J119/'Fin Statement'!J109)</f>
        <v>0.19599737247334109</v>
      </c>
      <c r="K116" s="312">
        <f>IF('Fin Statement'!K119="","",'Fin Statement'!K119/'Fin Statement'!K109)</f>
        <v>0.19057432602304772</v>
      </c>
      <c r="L116" s="312">
        <f>IF('Fin Statement'!L119="","",'Fin Statement'!L119/'Fin Statement'!L109)</f>
        <v>0.18604312410716028</v>
      </c>
      <c r="M116" s="312">
        <f>IF('Fin Statement'!M119="","",'Fin Statement'!M119/'Fin Statement'!M109)</f>
        <v>0.17961450336290991</v>
      </c>
      <c r="N116" s="312">
        <f>IF('Fin Statement'!N119="","",'Fin Statement'!N119/'Fin Statement'!N109)</f>
        <v>0.17097981897101247</v>
      </c>
    </row>
    <row r="117" spans="2:14" x14ac:dyDescent="0.35">
      <c r="B117" s="1" t="s">
        <v>97</v>
      </c>
      <c r="D117" s="95"/>
      <c r="E117" s="42">
        <f>IF('Fin Statement'!E120="","",'Fin Statement'!E120/'Fin Statement'!E109)</f>
        <v>0.1289113035851332</v>
      </c>
      <c r="F117" s="42">
        <f>IF('Fin Statement'!F120="","",'Fin Statement'!F120/'Fin Statement'!F109)</f>
        <v>0.10192341301435034</v>
      </c>
      <c r="G117" s="42">
        <f>IF('Fin Statement'!G120="","",'Fin Statement'!G120/'Fin Statement'!G109)</f>
        <v>8.3348465234700672E-2</v>
      </c>
      <c r="H117" s="42">
        <f>IF('Fin Statement'!H120="","",'Fin Statement'!H120/'Fin Statement'!H109)</f>
        <v>6.4865598389668544E-2</v>
      </c>
      <c r="I117" s="43">
        <f>IF('Fin Statement'!I120="","",'Fin Statement'!I120/'Fin Statement'!I109)</f>
        <v>4.0965167674082516E-2</v>
      </c>
      <c r="J117" s="44">
        <f>IF('Fin Statement'!J120="","",'Fin Statement'!J120/'Fin Statement'!J109)</f>
        <v>3.8767251229015309E-2</v>
      </c>
      <c r="K117" s="44">
        <f>IF('Fin Statement'!K120="","",'Fin Statement'!K120/'Fin Statement'!K109)</f>
        <v>3.1419469179357958E-2</v>
      </c>
      <c r="L117" s="44">
        <f>IF('Fin Statement'!L120="","",'Fin Statement'!L120/'Fin Statement'!L109)</f>
        <v>2.474361378726414E-2</v>
      </c>
      <c r="M117" s="44">
        <f>IF('Fin Statement'!M120="","",'Fin Statement'!M120/'Fin Statement'!M109)</f>
        <v>1.9701601299591337E-2</v>
      </c>
      <c r="N117" s="44">
        <f>IF('Fin Statement'!N120="","",'Fin Statement'!N120/'Fin Statement'!N109)</f>
        <v>1.6846733477791746E-2</v>
      </c>
    </row>
    <row r="118" spans="2:14" x14ac:dyDescent="0.35">
      <c r="B118" s="1" t="s">
        <v>98</v>
      </c>
      <c r="D118" s="95"/>
      <c r="E118" s="42">
        <f>IF('Fin Statement'!E121="","",'Fin Statement'!E121/'Fin Statement'!E109)</f>
        <v>7.866462010744436E-3</v>
      </c>
      <c r="F118" s="42">
        <f>IF('Fin Statement'!F121="","",'Fin Statement'!F121/'Fin Statement'!F109)</f>
        <v>7.0683729149270827E-3</v>
      </c>
      <c r="G118" s="42">
        <f>IF('Fin Statement'!G121="","",'Fin Statement'!G121/'Fin Statement'!G109)</f>
        <v>5.0804138526211384E-3</v>
      </c>
      <c r="H118" s="42">
        <f>IF('Fin Statement'!H121="","",'Fin Statement'!H121/'Fin Statement'!H109)</f>
        <v>4.3780078610281374E-3</v>
      </c>
      <c r="I118" s="43">
        <f>IF('Fin Statement'!I121="","",'Fin Statement'!I121/'Fin Statement'!I109)</f>
        <v>3.6222137831365972E-3</v>
      </c>
      <c r="J118" s="44">
        <f>IF('Fin Statement'!J121="","",'Fin Statement'!J121/'Fin Statement'!J109)</f>
        <v>3.7915060485144655E-3</v>
      </c>
      <c r="K118" s="44">
        <f>IF('Fin Statement'!K121="","",'Fin Statement'!K121/'Fin Statement'!K109)</f>
        <v>3.7659041053729565E-3</v>
      </c>
      <c r="L118" s="44">
        <f>IF('Fin Statement'!L121="","",'Fin Statement'!L121/'Fin Statement'!L109)</f>
        <v>3.7093660968668318E-3</v>
      </c>
      <c r="M118" s="44">
        <f>IF('Fin Statement'!M121="","",'Fin Statement'!M121/'Fin Statement'!M109)</f>
        <v>3.6340653331217716E-3</v>
      </c>
      <c r="N118" s="44">
        <f>IF('Fin Statement'!N121="","",'Fin Statement'!N121/'Fin Statement'!N109)</f>
        <v>3.5287318187321739E-3</v>
      </c>
    </row>
    <row r="119" spans="2:14" x14ac:dyDescent="0.35">
      <c r="B119" s="1" t="s">
        <v>99</v>
      </c>
      <c r="D119" s="95"/>
      <c r="E119" s="42">
        <f>IF('Fin Statement'!E122="","",'Fin Statement'!E122/'Fin Statement'!E109)</f>
        <v>7.2083653108211812E-2</v>
      </c>
      <c r="F119" s="42">
        <f>IF('Fin Statement'!F122="","",'Fin Statement'!F122/'Fin Statement'!F109)</f>
        <v>6.3093481173660607E-2</v>
      </c>
      <c r="G119" s="42">
        <f>IF('Fin Statement'!G122="","",'Fin Statement'!G122/'Fin Statement'!G109)</f>
        <v>5.9647026434943566E-2</v>
      </c>
      <c r="H119" s="42">
        <f>IF('Fin Statement'!H122="","",'Fin Statement'!H122/'Fin Statement'!H109)</f>
        <v>4.6560355927192598E-2</v>
      </c>
      <c r="I119" s="42">
        <f>IF('Fin Statement'!I122="","",'Fin Statement'!I122/'Fin Statement'!I109)</f>
        <v>4.1801164593816262E-2</v>
      </c>
      <c r="J119" s="44">
        <f>IF('Fin Statement'!J122="","",'Fin Statement'!J122/'Fin Statement'!J109)</f>
        <v>3.5019109568901079E-2</v>
      </c>
      <c r="K119" s="44">
        <f>IF('Fin Statement'!K122="","",'Fin Statement'!K122/'Fin Statement'!K109)</f>
        <v>2.9473533540120337E-2</v>
      </c>
      <c r="L119" s="44">
        <f>IF('Fin Statement'!L122="","",'Fin Statement'!L122/'Fin Statement'!L109)</f>
        <v>2.490624565536485E-2</v>
      </c>
      <c r="M119" s="44">
        <f>IF('Fin Statement'!M122="","",'Fin Statement'!M122/'Fin Statement'!M109)</f>
        <v>2.1175848063956906E-2</v>
      </c>
      <c r="N119" s="44">
        <f>IF('Fin Statement'!N122="","",'Fin Statement'!N122/'Fin Statement'!N109)</f>
        <v>1.8107353969603179E-2</v>
      </c>
    </row>
    <row r="120" spans="2:14" x14ac:dyDescent="0.35">
      <c r="B120" s="1" t="s">
        <v>100</v>
      </c>
      <c r="D120" s="95"/>
      <c r="E120" s="42">
        <f>IF('Fin Statement'!E123="","",'Fin Statement'!E123/'Fin Statement'!E109)</f>
        <v>3.1490516390746626E-2</v>
      </c>
      <c r="F120" s="42">
        <f>IF('Fin Statement'!F123="","",'Fin Statement'!F123/'Fin Statement'!F109)</f>
        <v>3.0895003592442277E-2</v>
      </c>
      <c r="G120" s="42">
        <f>IF('Fin Statement'!G123="","",'Fin Statement'!G123/'Fin Statement'!G109)</f>
        <v>3.0257945224469552E-2</v>
      </c>
      <c r="H120" s="42">
        <f>IF('Fin Statement'!H123="","",'Fin Statement'!H123/'Fin Statement'!H109)</f>
        <v>2.8169491908762962E-2</v>
      </c>
      <c r="I120" s="43">
        <f>IF('Fin Statement'!I123="","",'Fin Statement'!I123/'Fin Statement'!I109)</f>
        <v>2.1799213055265464E-2</v>
      </c>
      <c r="J120" s="44">
        <f>IF('Fin Statement'!J123="","",'Fin Statement'!J123/'Fin Statement'!J109)</f>
        <v>3.2790241692258727E-2</v>
      </c>
      <c r="K120" s="44">
        <f>IF('Fin Statement'!K123="","",'Fin Statement'!K123/'Fin Statement'!K109)</f>
        <v>3.3346742723356734E-2</v>
      </c>
      <c r="L120" s="44">
        <f>IF('Fin Statement'!L123="","",'Fin Statement'!L123/'Fin Statement'!L109)</f>
        <v>3.2111206146985462E-2</v>
      </c>
      <c r="M120" s="44">
        <f>IF('Fin Statement'!M123="","",'Fin Statement'!M123/'Fin Statement'!M109)</f>
        <v>3.0055285260324964E-2</v>
      </c>
      <c r="N120" s="44">
        <f>IF('Fin Statement'!N123="","",'Fin Statement'!N123/'Fin Statement'!N109)</f>
        <v>2.7677672589889814E-2</v>
      </c>
    </row>
    <row r="121" spans="2:14" x14ac:dyDescent="0.35">
      <c r="B121" s="1" t="s">
        <v>59</v>
      </c>
      <c r="D121" s="95"/>
      <c r="E121" s="42">
        <f>IF('Fin Statement'!E124="","",'Fin Statement'!E124/'Fin Statement'!E109)</f>
        <v>4.2555640828856482E-2</v>
      </c>
      <c r="F121" s="42">
        <f>IF('Fin Statement'!F124="","",'Fin Statement'!F124/'Fin Statement'!F109)</f>
        <v>4.364574635415655E-2</v>
      </c>
      <c r="G121" s="42">
        <f>IF('Fin Statement'!G124="","",'Fin Statement'!G124/'Fin Statement'!G109)</f>
        <v>5.2842552078146997E-2</v>
      </c>
      <c r="H121" s="42">
        <f>IF('Fin Statement'!H124="","",'Fin Statement'!H124/'Fin Statement'!H109)</f>
        <v>7.2998030704213068E-2</v>
      </c>
      <c r="I121" s="43">
        <f>IF('Fin Statement'!I124="","",'Fin Statement'!I124/'Fin Statement'!I109)</f>
        <v>8.5863740413726172E-2</v>
      </c>
      <c r="J121" s="44">
        <f>IF('Fin Statement'!J124="","",'Fin Statement'!J124/'Fin Statement'!J109)</f>
        <v>8.7111429697158349E-2</v>
      </c>
      <c r="K121" s="44">
        <f>IF('Fin Statement'!K124="","",'Fin Statement'!K124/'Fin Statement'!K109)</f>
        <v>8.1370845214163726E-2</v>
      </c>
      <c r="L121" s="44">
        <f>IF('Fin Statement'!L124="","",'Fin Statement'!L124/'Fin Statement'!L109)</f>
        <v>7.5000399233766474E-2</v>
      </c>
      <c r="M121" s="44">
        <f>IF('Fin Statement'!M124="","",'Fin Statement'!M124/'Fin Statement'!M109)</f>
        <v>6.8629489975204641E-2</v>
      </c>
      <c r="N121" s="44">
        <f>IF('Fin Statement'!N124="","",'Fin Statement'!N124/'Fin Statement'!N109)</f>
        <v>6.2496091172974347E-2</v>
      </c>
    </row>
    <row r="122" spans="2:14" x14ac:dyDescent="0.35">
      <c r="B122" s="83" t="s">
        <v>101</v>
      </c>
      <c r="C122" s="79"/>
      <c r="D122" s="104"/>
      <c r="E122" s="310">
        <f>IF('Fin Statement'!E125="","",'Fin Statement'!E125/'Fin Statement'!E109)</f>
        <v>0.54352044731937288</v>
      </c>
      <c r="F122" s="310">
        <f>IF('Fin Statement'!F125="","",'Fin Statement'!F125/'Fin Statement'!F109)</f>
        <v>0.499429578422044</v>
      </c>
      <c r="G122" s="310">
        <f>IF('Fin Statement'!G125="","",'Fin Statement'!G125/'Fin Statement'!G109)</f>
        <v>0.47579774407756903</v>
      </c>
      <c r="H122" s="310">
        <f>IF('Fin Statement'!H125="","",'Fin Statement'!H125/'Fin Statement'!H109)</f>
        <v>0.44510931287893596</v>
      </c>
      <c r="I122" s="311">
        <f>IF('Fin Statement'!I125="","",'Fin Statement'!I125/'Fin Statement'!I109)</f>
        <v>0.41666534805953775</v>
      </c>
      <c r="J122" s="312">
        <f>IF('Fin Statement'!J125="","",'Fin Statement'!J125/'Fin Statement'!J109)</f>
        <v>0.393476910709189</v>
      </c>
      <c r="K122" s="312">
        <f>IF('Fin Statement'!K125="","",'Fin Statement'!K125/'Fin Statement'!K109)</f>
        <v>0.36995082078541941</v>
      </c>
      <c r="L122" s="312">
        <f>IF('Fin Statement'!L125="","",'Fin Statement'!L125/'Fin Statement'!L109)</f>
        <v>0.346513955027408</v>
      </c>
      <c r="M122" s="312">
        <f>IF('Fin Statement'!M125="","",'Fin Statement'!M125/'Fin Statement'!M109)</f>
        <v>0.32281079329510953</v>
      </c>
      <c r="N122" s="312">
        <f>IF('Fin Statement'!N125="","",'Fin Statement'!N125/'Fin Statement'!N109)</f>
        <v>0.29963640200000374</v>
      </c>
    </row>
    <row r="123" spans="2:14" x14ac:dyDescent="0.35">
      <c r="B123" s="1" t="s">
        <v>102</v>
      </c>
      <c r="E123" s="2"/>
      <c r="F123" s="2"/>
      <c r="G123" s="2"/>
      <c r="H123" s="2"/>
      <c r="I123" s="2"/>
    </row>
    <row r="124" spans="2:14" x14ac:dyDescent="0.35">
      <c r="B124" s="1" t="s">
        <v>103</v>
      </c>
      <c r="E124" s="2"/>
      <c r="F124" s="2"/>
      <c r="G124" s="2"/>
      <c r="H124" s="2"/>
      <c r="I124" s="2"/>
    </row>
    <row r="125" spans="2:14" x14ac:dyDescent="0.35">
      <c r="B125" s="82" t="s">
        <v>104</v>
      </c>
      <c r="D125" s="95"/>
      <c r="E125" s="42">
        <f>IF('Fin Statement'!E128="","",'Fin Statement'!E128/'Fin Statement'!E109)</f>
        <v>0.23829349851989914</v>
      </c>
      <c r="F125" s="42">
        <f>IF('Fin Statement'!F128="","",'Fin Statement'!F128/'Fin Statement'!F109)</f>
        <v>0.22748412528885179</v>
      </c>
      <c r="G125" s="42">
        <f>IF('Fin Statement'!G128="","",'Fin Statement'!G128/'Fin Statement'!G109)</f>
        <v>0.19705250086398277</v>
      </c>
      <c r="H125" s="42">
        <f>IF('Fin Statement'!H128="","",'Fin Statement'!H128/'Fin Statement'!H109)</f>
        <v>0.1762430876748578</v>
      </c>
      <c r="I125" s="43">
        <f>IF('Fin Statement'!I128="","",'Fin Statement'!I128/'Fin Statement'!I109)</f>
        <v>0.15481238857769761</v>
      </c>
      <c r="J125" s="44">
        <f>IF('Fin Statement'!J128="","",'Fin Statement'!J128/'Fin Statement'!J109)</f>
        <v>0.14028972165373368</v>
      </c>
      <c r="K125" s="44">
        <f>IF('Fin Statement'!K128="","",'Fin Statement'!K128/'Fin Statement'!K109)</f>
        <v>0.12857061211148177</v>
      </c>
      <c r="L125" s="44">
        <f>IF('Fin Statement'!L128="","",'Fin Statement'!L128/'Fin Statement'!L109)</f>
        <v>0.11890618706531486</v>
      </c>
      <c r="M125" s="44">
        <f>IF('Fin Statement'!M128="","",'Fin Statement'!M128/'Fin Statement'!M109)</f>
        <v>0.11102261282549458</v>
      </c>
      <c r="N125" s="44">
        <f>IF('Fin Statement'!N128="","",'Fin Statement'!N128/'Fin Statement'!N109)</f>
        <v>0.10439771793322296</v>
      </c>
    </row>
    <row r="126" spans="2:14" x14ac:dyDescent="0.35">
      <c r="B126" s="1" t="s">
        <v>105</v>
      </c>
      <c r="D126" s="95"/>
      <c r="E126" s="42">
        <f>IF('Fin Statement'!E129="","",'Fin Statement'!E129/'Fin Statement'!E109)</f>
        <v>0.23100811314548844</v>
      </c>
      <c r="F126" s="42">
        <f>IF('Fin Statement'!F129="","",'Fin Statement'!F129/'Fin Statement'!F109)</f>
        <v>0.28848282424218885</v>
      </c>
      <c r="G126" s="42">
        <f>IF('Fin Statement'!G129="","",'Fin Statement'!G129/'Fin Statement'!G109)</f>
        <v>0.33806424907695404</v>
      </c>
      <c r="H126" s="42">
        <f>IF('Fin Statement'!H129="","",'Fin Statement'!H129/'Fin Statement'!H109)</f>
        <v>0.38405468147973437</v>
      </c>
      <c r="I126" s="43">
        <f>IF('Fin Statement'!I129="","",'Fin Statement'!I129/'Fin Statement'!I109)</f>
        <v>0.43285256917413001</v>
      </c>
      <c r="J126" s="44">
        <f>IF('Fin Statement'!J129="","",'Fin Statement'!J129/'Fin Statement'!J109)</f>
        <v>0.4698611003844439</v>
      </c>
      <c r="K126" s="44">
        <f>IF('Fin Statement'!K129="","",'Fin Statement'!K129/'Fin Statement'!K109)</f>
        <v>0.50453181728907892</v>
      </c>
      <c r="L126" s="44">
        <f>IF('Fin Statement'!L129="","",'Fin Statement'!L129/'Fin Statement'!L109)</f>
        <v>0.53715996928332876</v>
      </c>
      <c r="M126" s="44">
        <f>IF('Fin Statement'!M129="","",'Fin Statement'!M129/'Fin Statement'!M109)</f>
        <v>0.56836026237698378</v>
      </c>
      <c r="N126" s="44">
        <f>IF('Fin Statement'!N129="","",'Fin Statement'!N129/'Fin Statement'!N109)</f>
        <v>0.59784167421951862</v>
      </c>
    </row>
    <row r="127" spans="2:14" x14ac:dyDescent="0.35">
      <c r="B127" s="1" t="s">
        <v>106</v>
      </c>
      <c r="D127" s="95"/>
      <c r="E127" s="42">
        <f>IF('Fin Statement'!E130="","",'Fin Statement'!E130/'Fin Statement'!E109)</f>
        <v>-1.2822058984760442E-2</v>
      </c>
      <c r="F127" s="42">
        <f>IF('Fin Statement'!F130="","",'Fin Statement'!F130/'Fin Statement'!F109)</f>
        <v>-1.5396527953084646E-2</v>
      </c>
      <c r="G127" s="42">
        <f>IF('Fin Statement'!G130="","",'Fin Statement'!G130/'Fin Statement'!G109)</f>
        <v>-1.0914494018505827E-2</v>
      </c>
      <c r="H127" s="42">
        <f>IF('Fin Statement'!H130="","",'Fin Statement'!H130/'Fin Statement'!H109)</f>
        <v>-5.4070820335281088E-3</v>
      </c>
      <c r="I127" s="43">
        <f>IF('Fin Statement'!I130="","",'Fin Statement'!I130/'Fin Statement'!I109)</f>
        <v>-4.3303058113653382E-3</v>
      </c>
      <c r="J127" s="44">
        <f>IF('Fin Statement'!J130="","",'Fin Statement'!J130/'Fin Statement'!J109)</f>
        <v>-3.6277327473666805E-3</v>
      </c>
      <c r="K127" s="44">
        <f>IF('Fin Statement'!K130="","",'Fin Statement'!K130/'Fin Statement'!K109)</f>
        <v>-3.0532501859801011E-3</v>
      </c>
      <c r="L127" s="44">
        <f>IF('Fin Statement'!L130="","",'Fin Statement'!L130/'Fin Statement'!L109)</f>
        <v>-2.5801113760518016E-3</v>
      </c>
      <c r="M127" s="44">
        <f>IF('Fin Statement'!M130="","",'Fin Statement'!M130/'Fin Statement'!M109)</f>
        <v>-2.1936684975879146E-3</v>
      </c>
      <c r="N127" s="44">
        <f>IF('Fin Statement'!N130="","",'Fin Statement'!N130/'Fin Statement'!N109)</f>
        <v>-1.8757941527452395E-3</v>
      </c>
    </row>
    <row r="128" spans="2:14" x14ac:dyDescent="0.35">
      <c r="B128" s="83" t="s">
        <v>107</v>
      </c>
      <c r="C128" s="79"/>
      <c r="D128" s="104"/>
      <c r="E128" s="310">
        <f>IF('Fin Statement'!E131="","",'Fin Statement'!E131/'Fin Statement'!E109)</f>
        <v>0.45647955268062712</v>
      </c>
      <c r="F128" s="310">
        <f>IF('Fin Statement'!F131="","",'Fin Statement'!F131/'Fin Statement'!F109)</f>
        <v>0.50057042157795595</v>
      </c>
      <c r="G128" s="310">
        <f>IF('Fin Statement'!G131="","",'Fin Statement'!G131/'Fin Statement'!G109)</f>
        <v>0.52420225592243097</v>
      </c>
      <c r="H128" s="310">
        <f>IF('Fin Statement'!H131="","",'Fin Statement'!H131/'Fin Statement'!H109)</f>
        <v>0.55489068712106404</v>
      </c>
      <c r="I128" s="311">
        <f>IF('Fin Statement'!I131="","",'Fin Statement'!I131/'Fin Statement'!I109)</f>
        <v>0.5833346519404623</v>
      </c>
      <c r="J128" s="312">
        <f>IF('Fin Statement'!J131="","",'Fin Statement'!J131/'Fin Statement'!J109)</f>
        <v>0.60652308929081078</v>
      </c>
      <c r="K128" s="312">
        <f>IF('Fin Statement'!K131="","",'Fin Statement'!K131/'Fin Statement'!K109)</f>
        <v>0.63004917921458059</v>
      </c>
      <c r="L128" s="312">
        <f>IF('Fin Statement'!L131="","",'Fin Statement'!L131/'Fin Statement'!L109)</f>
        <v>0.65348604497259188</v>
      </c>
      <c r="M128" s="312">
        <f>IF('Fin Statement'!M131="","",'Fin Statement'!M131/'Fin Statement'!M109)</f>
        <v>0.67718920670489047</v>
      </c>
      <c r="N128" s="312">
        <f>IF('Fin Statement'!N131="","",'Fin Statement'!N131/'Fin Statement'!N109)</f>
        <v>0.70036359799999637</v>
      </c>
    </row>
    <row r="129" spans="2:14" ht="15" thickBot="1" x14ac:dyDescent="0.4">
      <c r="B129" s="85" t="s">
        <v>108</v>
      </c>
      <c r="C129" s="73"/>
      <c r="D129" s="102"/>
      <c r="E129" s="313">
        <f>IF('Fin Statement'!E132="","",'Fin Statement'!E132/'Fin Statement'!E109)</f>
        <v>1</v>
      </c>
      <c r="F129" s="313">
        <f>IF('Fin Statement'!F132="","",'Fin Statement'!F132/'Fin Statement'!F109)</f>
        <v>1</v>
      </c>
      <c r="G129" s="313">
        <f>IF('Fin Statement'!G132="","",'Fin Statement'!G132/'Fin Statement'!G109)</f>
        <v>1</v>
      </c>
      <c r="H129" s="313">
        <f>IF('Fin Statement'!H132="","",'Fin Statement'!H132/'Fin Statement'!H109)</f>
        <v>1</v>
      </c>
      <c r="I129" s="314">
        <f>IF('Fin Statement'!I132="","",'Fin Statement'!I132/'Fin Statement'!I109)</f>
        <v>1</v>
      </c>
      <c r="J129" s="307">
        <f>IF('Fin Statement'!J132="","",'Fin Statement'!J132/'Fin Statement'!J109)</f>
        <v>0.99999999999999978</v>
      </c>
      <c r="K129" s="307">
        <f>IF('Fin Statement'!K132="","",'Fin Statement'!K132/'Fin Statement'!K109)</f>
        <v>1</v>
      </c>
      <c r="L129" s="307">
        <f>IF('Fin Statement'!L132="","",'Fin Statement'!L132/'Fin Statement'!L109)</f>
        <v>1</v>
      </c>
      <c r="M129" s="307">
        <f>IF('Fin Statement'!M132="","",'Fin Statement'!M132/'Fin Statement'!M109)</f>
        <v>1</v>
      </c>
      <c r="N129" s="307">
        <f>IF('Fin Statement'!N132="","",'Fin Statement'!N132/'Fin Statement'!N109)</f>
        <v>1.0000000000000002</v>
      </c>
    </row>
    <row r="131" spans="2:14" ht="30.5" customHeight="1" x14ac:dyDescent="0.35">
      <c r="B131" s="126" t="s">
        <v>116</v>
      </c>
      <c r="C131" s="127"/>
      <c r="D131" s="127"/>
      <c r="E131" s="127"/>
      <c r="F131" s="127"/>
      <c r="G131" s="127"/>
      <c r="H131" s="127"/>
      <c r="I131" s="127"/>
      <c r="J131" s="127"/>
      <c r="K131" s="127"/>
      <c r="L131" s="127"/>
      <c r="M131" s="127"/>
      <c r="N131" s="127"/>
    </row>
    <row r="134" spans="2:14" x14ac:dyDescent="0.35">
      <c r="B134" s="128" t="s">
        <v>117</v>
      </c>
      <c r="C134" s="129"/>
      <c r="D134" s="129"/>
      <c r="E134" s="129"/>
      <c r="F134" s="129"/>
      <c r="G134" s="129"/>
      <c r="H134" s="129"/>
      <c r="I134" s="129"/>
      <c r="J134" s="129"/>
      <c r="K134" s="129"/>
      <c r="L134" s="129"/>
      <c r="M134" s="129"/>
      <c r="N134" s="130"/>
    </row>
    <row r="135" spans="2:14" ht="14.5" customHeight="1" x14ac:dyDescent="0.35">
      <c r="B135" s="131" t="s">
        <v>118</v>
      </c>
      <c r="C135" s="130"/>
      <c r="D135" s="132"/>
      <c r="E135" s="133" t="str">
        <f>'Fin Statement'!E5</f>
        <v>2022A</v>
      </c>
      <c r="F135" s="133" t="str">
        <f>'Fin Statement'!F5</f>
        <v>2023A</v>
      </c>
      <c r="G135" s="133" t="str">
        <f>'Fin Statement'!G5</f>
        <v>2024A</v>
      </c>
      <c r="H135" s="133" t="str">
        <f>'Fin Statement'!H5</f>
        <v>2025A</v>
      </c>
      <c r="I135" s="133" t="str">
        <f>'Fin Statement'!I5</f>
        <v>2026A</v>
      </c>
      <c r="J135" s="134" t="str">
        <f>'Fin Statement'!J5</f>
        <v>2027E</v>
      </c>
      <c r="K135" s="134" t="str">
        <f>'Fin Statement'!K5</f>
        <v>2028E</v>
      </c>
      <c r="L135" s="134" t="str">
        <f>'Fin Statement'!L5</f>
        <v>2029E</v>
      </c>
      <c r="M135" s="134" t="str">
        <f>'Fin Statement'!M5</f>
        <v>2030E</v>
      </c>
      <c r="N135" s="134" t="str">
        <f>'Fin Statement'!N5</f>
        <v>2031E</v>
      </c>
    </row>
    <row r="136" spans="2:14" x14ac:dyDescent="0.35">
      <c r="B136" s="135"/>
      <c r="C136" s="130"/>
      <c r="D136" s="130"/>
      <c r="E136" s="136"/>
      <c r="F136" s="136"/>
      <c r="G136" s="136"/>
      <c r="H136" s="136"/>
      <c r="I136" s="136"/>
      <c r="J136" s="136"/>
      <c r="K136" s="136"/>
      <c r="L136" s="136"/>
      <c r="M136" s="136"/>
      <c r="N136" s="136"/>
    </row>
    <row r="137" spans="2:14" x14ac:dyDescent="0.35">
      <c r="B137" s="128" t="s">
        <v>119</v>
      </c>
      <c r="C137" s="130"/>
      <c r="D137" s="130"/>
      <c r="E137" s="136"/>
      <c r="F137" s="136"/>
      <c r="G137" s="136"/>
      <c r="H137" s="136"/>
      <c r="I137" s="136"/>
      <c r="J137" s="136"/>
      <c r="K137" s="136"/>
      <c r="L137" s="136"/>
      <c r="M137" s="136"/>
      <c r="N137" s="136"/>
    </row>
    <row r="138" spans="2:14" x14ac:dyDescent="0.35">
      <c r="B138" s="135" t="s">
        <v>12</v>
      </c>
      <c r="C138" s="130"/>
      <c r="D138" s="146"/>
      <c r="E138" s="315">
        <f>IFERROR('Fin Statement'!E15/'Fin Statement'!E9,"")</f>
        <v>0.68401674484289099</v>
      </c>
      <c r="F138" s="315">
        <f>IFERROR('Fin Statement'!F15/'Fin Statement'!F9,"")</f>
        <v>0.68920085883491022</v>
      </c>
      <c r="G138" s="315">
        <f>IFERROR('Fin Statement'!G15/'Fin Statement'!G9,"")</f>
        <v>0.69764443827971379</v>
      </c>
      <c r="H138" s="315">
        <f>IFERROR('Fin Statement'!H15/'Fin Statement'!H9,"")</f>
        <v>0.68823742386165188</v>
      </c>
      <c r="I138" s="316">
        <f>IFERROR('Fin Statement'!I15/'Fin Statement'!I9,"")</f>
        <v>0.67944093370580316</v>
      </c>
      <c r="J138" s="315">
        <f>IFERROR('Fin Statement'!J15/'Fin Statement'!J9,"")</f>
        <v>0.65600000000000003</v>
      </c>
      <c r="K138" s="315">
        <f>IFERROR('Fin Statement'!K15/'Fin Statement'!K9,"")</f>
        <v>0.65600000000000003</v>
      </c>
      <c r="L138" s="315">
        <f>IFERROR('Fin Statement'!L15/'Fin Statement'!L9,"")</f>
        <v>0.65800000000000003</v>
      </c>
      <c r="M138" s="315">
        <f>IFERROR('Fin Statement'!M15/'Fin Statement'!M9,"")</f>
        <v>0.66</v>
      </c>
      <c r="N138" s="315">
        <f>IFERROR('Fin Statement'!N15/'Fin Statement'!N9,"")</f>
        <v>0.66200000000000003</v>
      </c>
    </row>
    <row r="139" spans="2:14" x14ac:dyDescent="0.35">
      <c r="B139" s="135" t="s">
        <v>120</v>
      </c>
      <c r="C139" s="130"/>
      <c r="D139" s="146"/>
      <c r="E139" s="315">
        <f>IFERROR('Fin Statement'!E22/'Fin Statement'!E9,"")</f>
        <v>0.4205527815604983</v>
      </c>
      <c r="F139" s="315">
        <f>IFERROR('Fin Statement'!F22/'Fin Statement'!F9,"")</f>
        <v>0.41772880636104098</v>
      </c>
      <c r="G139" s="315">
        <f>IFERROR('Fin Statement'!G22/'Fin Statement'!G9,"")</f>
        <v>0.44644299573273716</v>
      </c>
      <c r="H139" s="315">
        <f>IFERROR('Fin Statement'!H22/'Fin Statement'!H9,"")</f>
        <v>0.45621956240859851</v>
      </c>
      <c r="I139" s="316">
        <f>IFERROR('Fin Statement'!I22/'Fin Statement'!I9,"")</f>
        <v>0.46780818408927222</v>
      </c>
      <c r="J139" s="315">
        <f>IFERROR('Fin Statement'!J22/'Fin Statement'!J9,"")</f>
        <v>0.46400000000000013</v>
      </c>
      <c r="K139" s="315">
        <f>IFERROR('Fin Statement'!K22/'Fin Statement'!K9,"")</f>
        <v>0.46600000000000008</v>
      </c>
      <c r="L139" s="315">
        <f>IFERROR('Fin Statement'!L22/'Fin Statement'!L9,"")</f>
        <v>0.47100000000000003</v>
      </c>
      <c r="M139" s="315">
        <f>IFERROR('Fin Statement'!M22/'Fin Statement'!M9,"")</f>
        <v>0.47500000000000014</v>
      </c>
      <c r="N139" s="315">
        <f>IFERROR('Fin Statement'!N22/'Fin Statement'!N9,"")</f>
        <v>0.48100000000000004</v>
      </c>
    </row>
    <row r="140" spans="2:14" x14ac:dyDescent="0.35">
      <c r="B140" s="135" t="s">
        <v>121</v>
      </c>
      <c r="C140" s="130"/>
      <c r="D140" s="146"/>
      <c r="E140" s="315">
        <f>IFERROR('Fin Statement'!E29/'Fin Statement'!E9,"")</f>
        <v>0.36686336813436221</v>
      </c>
      <c r="F140" s="315">
        <f>IFERROR('Fin Statement'!F29/'Fin Statement'!F9,"")</f>
        <v>0.34146237878394642</v>
      </c>
      <c r="G140" s="315">
        <f>IFERROR('Fin Statement'!G29/'Fin Statement'!G9,"")</f>
        <v>0.35955972944084985</v>
      </c>
      <c r="H140" s="315">
        <f>IFERROR('Fin Statement'!H29/'Fin Statement'!H9,"")</f>
        <v>0.36146015248967073</v>
      </c>
      <c r="I140" s="316">
        <f>IFERROR('Fin Statement'!I29/'Fin Statement'!I9,"")</f>
        <v>0.4030538905915218</v>
      </c>
      <c r="J140" s="315">
        <f>IFERROR('Fin Statement'!J29/'Fin Statement'!J9,"")</f>
        <v>0.36611409921681737</v>
      </c>
      <c r="K140" s="315">
        <f>IFERROR('Fin Statement'!K29/'Fin Statement'!K9,"")</f>
        <v>0.36944668401489822</v>
      </c>
      <c r="L140" s="315">
        <f>IFERROR('Fin Statement'!L29/'Fin Statement'!L9,"")</f>
        <v>0.37585741251397542</v>
      </c>
      <c r="M140" s="315">
        <f>IFERROR('Fin Statement'!M29/'Fin Statement'!M9,"")</f>
        <v>0.38212856674512413</v>
      </c>
      <c r="N140" s="315">
        <f>IFERROR('Fin Statement'!N29/'Fin Statement'!N9,"")</f>
        <v>0.39029979787166696</v>
      </c>
    </row>
    <row r="141" spans="2:14" x14ac:dyDescent="0.35">
      <c r="B141" s="135" t="s">
        <v>122</v>
      </c>
      <c r="C141" s="130"/>
      <c r="D141" s="130"/>
      <c r="E141" s="137" t="str">
        <f>""</f>
        <v/>
      </c>
      <c r="F141" s="315">
        <f>IF(OR('Fin Statement'!F29="",'Fin Statement'!E109="",'Fin Statement'!F109=""),"",'Fin Statement'!F29/AVERAGE('Fin Statement'!E109,'Fin Statement'!F109))</f>
        <v>0.1863015179913905</v>
      </c>
      <c r="G141" s="315">
        <f>IF(OR('Fin Statement'!G29="",'Fin Statement'!F109="",'Fin Statement'!G109=""),"",'Fin Statement'!G29/AVERAGE('Fin Statement'!F109,'Fin Statement'!G109))</f>
        <v>0.19074186891798744</v>
      </c>
      <c r="H141" s="315">
        <f>IF(OR('Fin Statement'!H29="",'Fin Statement'!G109="",'Fin Statement'!H109=""),"",'Fin Statement'!H29/AVERAGE('Fin Statement'!G109,'Fin Statement'!H109))</f>
        <v>0.18004784443662558</v>
      </c>
      <c r="I141" s="316">
        <f>IF(OR('Fin Statement'!I29="",'Fin Statement'!H109="",'Fin Statement'!I109=""),"",'Fin Statement'!I29/AVERAGE('Fin Statement'!H109,'Fin Statement'!I109))</f>
        <v>0.19420798487562246</v>
      </c>
      <c r="J141" s="315">
        <f>IF(OR('Fin Statement'!J29="",'Fin Statement'!I109="",'Fin Statement'!J109=""),"",'Fin Statement'!J29/AVERAGE('Fin Statement'!I109,'Fin Statement'!J109))</f>
        <v>0.17166749088540373</v>
      </c>
      <c r="K141" s="315">
        <f>IF(OR('Fin Statement'!K29="",'Fin Statement'!J109="",'Fin Statement'!K109=""),"",'Fin Statement'!K29/AVERAGE('Fin Statement'!J109,'Fin Statement'!K109))</f>
        <v>0.17169722513760668</v>
      </c>
      <c r="L141" s="315">
        <f>IF(OR('Fin Statement'!L29="",'Fin Statement'!K109="",'Fin Statement'!L109=""),"",'Fin Statement'!L29/AVERAGE('Fin Statement'!K109,'Fin Statement'!L109))</f>
        <v>0.17173740942894064</v>
      </c>
      <c r="M141" s="315">
        <f>IF(OR('Fin Statement'!M29="",'Fin Statement'!L109="",'Fin Statement'!M109=""),"",'Fin Statement'!M29/AVERAGE('Fin Statement'!L109,'Fin Statement'!M109))</f>
        <v>0.17057902360493635</v>
      </c>
      <c r="N141" s="315">
        <f>IF(OR('Fin Statement'!N29="",'Fin Statement'!M109="",'Fin Statement'!N109=""),"",'Fin Statement'!N29/AVERAGE('Fin Statement'!M109,'Fin Statement'!N109))</f>
        <v>0.16873230336106187</v>
      </c>
    </row>
    <row r="142" spans="2:14" x14ac:dyDescent="0.35">
      <c r="B142" s="135" t="s">
        <v>123</v>
      </c>
      <c r="C142" s="130"/>
      <c r="D142" s="130"/>
      <c r="E142" s="137" t="str">
        <f>""</f>
        <v/>
      </c>
      <c r="F142" s="315">
        <f>IF(OR('Fin Statement'!F29="",'Fin Statement'!E131="",'Fin Statement'!F131=""),"",'Fin Statement'!F29/AVERAGE('Fin Statement'!E131,'Fin Statement'!F131))</f>
        <v>0.38823923919895914</v>
      </c>
      <c r="G142" s="315">
        <f>IF(OR('Fin Statement'!G29="",'Fin Statement'!F131="",'Fin Statement'!G131=""),"",'Fin Statement'!G29/AVERAGE('Fin Statement'!F131,'Fin Statement'!G131))</f>
        <v>0.37133347377290921</v>
      </c>
      <c r="H142" s="315">
        <f>IF(OR('Fin Statement'!H29="",'Fin Statement'!G131="",'Fin Statement'!H131=""),"",'Fin Statement'!H29/AVERAGE('Fin Statement'!G131,'Fin Statement'!H131))</f>
        <v>0.33280824111537433</v>
      </c>
      <c r="I142" s="316">
        <f>IF(OR('Fin Statement'!I29="",'Fin Statement'!H131="",'Fin Statement'!I131=""),"",'Fin Statement'!I29/AVERAGE('Fin Statement'!H131,'Fin Statement'!I131))</f>
        <v>0.34038627450481379</v>
      </c>
      <c r="J142" s="315">
        <f>IF(OR('Fin Statement'!J29="",'Fin Statement'!I131="",'Fin Statement'!J131=""),"",'Fin Statement'!J29/AVERAGE('Fin Statement'!I131,'Fin Statement'!J131))</f>
        <v>0.28805567828493533</v>
      </c>
      <c r="K142" s="315">
        <f>IF(OR('Fin Statement'!K29="",'Fin Statement'!J131="",'Fin Statement'!K131=""),"",'Fin Statement'!K29/AVERAGE('Fin Statement'!J131,'Fin Statement'!K131))</f>
        <v>0.27724509487429899</v>
      </c>
      <c r="L142" s="315">
        <f>IF(OR('Fin Statement'!L29="",'Fin Statement'!K131="",'Fin Statement'!L131=""),"",'Fin Statement'!L29/AVERAGE('Fin Statement'!K131,'Fin Statement'!L131))</f>
        <v>0.26719085327257447</v>
      </c>
      <c r="M142" s="315">
        <f>IF(OR('Fin Statement'!M29="",'Fin Statement'!L131="",'Fin Statement'!M131=""),"",'Fin Statement'!M29/AVERAGE('Fin Statement'!L131,'Fin Statement'!M131))</f>
        <v>0.25601048373145585</v>
      </c>
      <c r="N142" s="315">
        <f>IF(OR('Fin Statement'!N29="",'Fin Statement'!M131="",'Fin Statement'!N131=""),"",'Fin Statement'!N29/AVERAGE('Fin Statement'!M131,'Fin Statement'!N131))</f>
        <v>0.24465249929210756</v>
      </c>
    </row>
    <row r="143" spans="2:14" x14ac:dyDescent="0.35">
      <c r="B143" s="135" t="s">
        <v>124</v>
      </c>
      <c r="C143" s="130"/>
      <c r="D143" s="130"/>
      <c r="E143" s="137" t="str">
        <f>""</f>
        <v/>
      </c>
      <c r="F143" s="315">
        <f>IF(OR('Fin Statement'!F22="",'Fin Statement'!E109="",'Fin Statement'!E119="",'Fin Statement'!F109="",'Fin Statement'!F119=""),"",'Fin Statement'!F22/AVERAGE('Fin Statement'!E109-'Fin Statement'!E119,'Fin Statement'!F109-'Fin Statement'!F119))</f>
        <v>0.30652804349143414</v>
      </c>
      <c r="G143" s="315">
        <f>IF(OR('Fin Statement'!G22="",'Fin Statement'!F109="",'Fin Statement'!F119="",'Fin Statement'!G109="",'Fin Statement'!G119=""),"",'Fin Statement'!G22/AVERAGE('Fin Statement'!F109-'Fin Statement'!F119,'Fin Statement'!G109-'Fin Statement'!G119))</f>
        <v>0.31504928717842418</v>
      </c>
      <c r="H143" s="315">
        <f>IF(OR('Fin Statement'!H22="",'Fin Statement'!G109="",'Fin Statement'!G119="",'Fin Statement'!H109="",'Fin Statement'!H119=""),"",'Fin Statement'!H22/AVERAGE('Fin Statement'!G109-'Fin Statement'!G119,'Fin Statement'!H109-'Fin Statement'!H119))</f>
        <v>0.29729073325761973</v>
      </c>
      <c r="I143" s="316">
        <f>IF(OR('Fin Statement'!I22="",'Fin Statement'!H109="",'Fin Statement'!H119="",'Fin Statement'!I109="",'Fin Statement'!I119=""),"",'Fin Statement'!I22/AVERAGE('Fin Statement'!H109-'Fin Statement'!H119,'Fin Statement'!I109-'Fin Statement'!I119))</f>
        <v>0.29088684350570015</v>
      </c>
      <c r="J143" s="315">
        <f>IF(OR('Fin Statement'!J22="",'Fin Statement'!I109="",'Fin Statement'!I119="",'Fin Statement'!J109="",'Fin Statement'!J119=""),"",'Fin Statement'!J22/AVERAGE('Fin Statement'!I109-'Fin Statement'!I119,'Fin Statement'!J109-'Fin Statement'!J119))</f>
        <v>0.27474897318646674</v>
      </c>
      <c r="K143" s="315">
        <f>IF(OR('Fin Statement'!K22="",'Fin Statement'!J109="",'Fin Statement'!J119="",'Fin Statement'!K109="",'Fin Statement'!K119=""),"",'Fin Statement'!K22/AVERAGE('Fin Statement'!J109-'Fin Statement'!J119,'Fin Statement'!K109-'Fin Statement'!K119))</f>
        <v>0.26838129421594303</v>
      </c>
      <c r="L143" s="315">
        <f>IF(OR('Fin Statement'!L22="",'Fin Statement'!K109="",'Fin Statement'!K119="",'Fin Statement'!L109="",'Fin Statement'!L119=""),"",'Fin Statement'!L22/AVERAGE('Fin Statement'!K109-'Fin Statement'!K119,'Fin Statement'!L109-'Fin Statement'!L119))</f>
        <v>0.26507576139029942</v>
      </c>
      <c r="M143" s="315">
        <f>IF(OR('Fin Statement'!M22="",'Fin Statement'!L109="",'Fin Statement'!L119="",'Fin Statement'!M109="",'Fin Statement'!M119=""),"",'Fin Statement'!M22/AVERAGE('Fin Statement'!L109-'Fin Statement'!L119,'Fin Statement'!M109-'Fin Statement'!M119))</f>
        <v>0.2593930993518494</v>
      </c>
      <c r="N143" s="315">
        <f>IF(OR('Fin Statement'!N22="",'Fin Statement'!M109="",'Fin Statement'!M119="",'Fin Statement'!N109="",'Fin Statement'!N119=""),"",'Fin Statement'!N22/AVERAGE('Fin Statement'!M109-'Fin Statement'!M119,'Fin Statement'!N109-'Fin Statement'!N119))</f>
        <v>0.25204027255134365</v>
      </c>
    </row>
    <row r="144" spans="2:14" x14ac:dyDescent="0.35">
      <c r="B144" s="135" t="s">
        <v>125</v>
      </c>
      <c r="C144" s="130"/>
      <c r="D144" s="130"/>
      <c r="E144" s="137" t="str">
        <f>""</f>
        <v/>
      </c>
      <c r="F144" s="315">
        <f>IFERROR(('Fin Statement'!F22*(1-'Fin Statement'!F28/'Fin Statement'!F27))/AVERAGE(('Fin Statement'!E131+('Fin Statement'!E113+'Fin Statement'!E114+'Fin Statement'!E120)-'Fin Statement'!E98-'Fin Statement'!E99),('Fin Statement'!F131+('Fin Statement'!F113+'Fin Statement'!F114+'Fin Statement'!F120)-'Fin Statement'!F98-'Fin Statement'!F99)),"")</f>
        <v>0.5652697117557749</v>
      </c>
      <c r="G144" s="315">
        <f>IFERROR(('Fin Statement'!G22*(1-'Fin Statement'!G28/'Fin Statement'!G27))/AVERAGE(('Fin Statement'!F131+('Fin Statement'!F113+'Fin Statement'!F114+'Fin Statement'!F120)-'Fin Statement'!F98-'Fin Statement'!F99),('Fin Statement'!G131+('Fin Statement'!G113+'Fin Statement'!G114+'Fin Statement'!G120)-'Fin Statement'!G98-'Fin Statement'!G99)),"")</f>
        <v>0.46272339249564204</v>
      </c>
      <c r="H144" s="315">
        <f>IFERROR(('Fin Statement'!H22*(1-'Fin Statement'!H28/'Fin Statement'!H27))/AVERAGE(('Fin Statement'!G131+('Fin Statement'!G113+'Fin Statement'!G114+'Fin Statement'!G120)-'Fin Statement'!G98-'Fin Statement'!G99),('Fin Statement'!H131+('Fin Statement'!H113+'Fin Statement'!H114+'Fin Statement'!H120)-'Fin Statement'!H98-'Fin Statement'!H99)),"")</f>
        <v>0.39457044306990313</v>
      </c>
      <c r="I144" s="316">
        <f>IFERROR(('Fin Statement'!I22*(1-'Fin Statement'!I28/'Fin Statement'!I27))/AVERAGE(('Fin Statement'!H131+('Fin Statement'!H113+'Fin Statement'!H114+'Fin Statement'!H120)-'Fin Statement'!H98-'Fin Statement'!H99),('Fin Statement'!I131+('Fin Statement'!I113+'Fin Statement'!I114+'Fin Statement'!I120)-'Fin Statement'!I98-'Fin Statement'!I99)),"")</f>
        <v>0.35857939734445748</v>
      </c>
      <c r="J144" s="315">
        <f>IF(OR(COUNT('Fin Statement'!J22,'Fin Statement'!J27,'Fin Statement'!J28,'Fin Statement'!J131,'Fin Statement'!J98,'Fin Statement'!J99,'Fin Statement'!I131,'Fin Statement'!I98,'Fin Statement'!I99)&lt;9,COUNT('Fin Statement'!J113,'Fin Statement'!J114,'Fin Statement'!J120)&lt;1,COUNT('Fin Statement'!I113,'Fin Statement'!I114,'Fin Statement'!I120)&lt;1),"",IF(ABS(AVERAGE('Fin Statement'!I131+SUM('Fin Statement'!I113,'Fin Statement'!I114,'Fin Statement'!I120)-'Fin Statement'!I98-'Fin Statement'!I99,'Fin Statement'!J131+SUM('Fin Statement'!J113,'Fin Statement'!J114,'Fin Statement'!J120)-'Fin Statement'!J98-'Fin Statement'!J99))&lt;0.1,"",('Fin Statement'!J22*(1-'Fin Statement'!J28/'Fin Statement'!J27))/AVERAGE('Fin Statement'!I131+SUM('Fin Statement'!I113,'Fin Statement'!I114,'Fin Statement'!I120)-'Fin Statement'!I98-'Fin Statement'!I99,'Fin Statement'!J131+SUM('Fin Statement'!J113,'Fin Statement'!J114,'Fin Statement'!J120)-'Fin Statement'!J98-'Fin Statement'!J99)))</f>
        <v>0.32443682814388525</v>
      </c>
      <c r="K144" s="315">
        <f>IF(OR(COUNT('Fin Statement'!K22,'Fin Statement'!K27,'Fin Statement'!K28,'Fin Statement'!K131,'Fin Statement'!K98,'Fin Statement'!K99,'Fin Statement'!J131,'Fin Statement'!J98,'Fin Statement'!J99)&lt;9,COUNT('Fin Statement'!K113,'Fin Statement'!K114,'Fin Statement'!K120)&lt;1,COUNT('Fin Statement'!J113,'Fin Statement'!J114,'Fin Statement'!J120)&lt;1),"",IF(ABS(AVERAGE('Fin Statement'!J131+SUM('Fin Statement'!J113,'Fin Statement'!J114,'Fin Statement'!J120)-'Fin Statement'!J98-'Fin Statement'!J99,'Fin Statement'!K131+SUM('Fin Statement'!K113,'Fin Statement'!K114,'Fin Statement'!K120)-'Fin Statement'!K98-'Fin Statement'!K99))&lt;0.1,"",('Fin Statement'!K22*(1-'Fin Statement'!K28/'Fin Statement'!K27))/AVERAGE('Fin Statement'!J131+SUM('Fin Statement'!J113,'Fin Statement'!J114,'Fin Statement'!J120)-'Fin Statement'!J98-'Fin Statement'!J99,'Fin Statement'!K131+SUM('Fin Statement'!K113,'Fin Statement'!K114,'Fin Statement'!K120)-'Fin Statement'!K98-'Fin Statement'!K99)))</f>
        <v>0.32552741531584994</v>
      </c>
      <c r="L144" s="315">
        <f>IF(OR(COUNT('Fin Statement'!L22,'Fin Statement'!L27,'Fin Statement'!L28,'Fin Statement'!L131,'Fin Statement'!L98,'Fin Statement'!L99,'Fin Statement'!K131,'Fin Statement'!K98,'Fin Statement'!K99)&lt;9,COUNT('Fin Statement'!L113,'Fin Statement'!L114,'Fin Statement'!L120)&lt;1,COUNT('Fin Statement'!K113,'Fin Statement'!K114,'Fin Statement'!K120)&lt;1),"",IF(ABS(AVERAGE('Fin Statement'!K131+SUM('Fin Statement'!K113,'Fin Statement'!K114,'Fin Statement'!K120)-'Fin Statement'!K98-'Fin Statement'!K99,'Fin Statement'!L131+SUM('Fin Statement'!L113,'Fin Statement'!L114,'Fin Statement'!L120)-'Fin Statement'!L98-'Fin Statement'!L99))&lt;0.1,"",('Fin Statement'!L22*(1-'Fin Statement'!L28/'Fin Statement'!L27))/AVERAGE('Fin Statement'!K131+SUM('Fin Statement'!K113,'Fin Statement'!K114,'Fin Statement'!K120)-'Fin Statement'!K98-'Fin Statement'!K99,'Fin Statement'!L131+SUM('Fin Statement'!L113,'Fin Statement'!L114,'Fin Statement'!L120)-'Fin Statement'!L98-'Fin Statement'!L99)))</f>
        <v>0.3325720191381254</v>
      </c>
      <c r="M144" s="315">
        <f>IF(OR(COUNT('Fin Statement'!M22,'Fin Statement'!M27,'Fin Statement'!M28,'Fin Statement'!M131,'Fin Statement'!M98,'Fin Statement'!M99,'Fin Statement'!L131,'Fin Statement'!L98,'Fin Statement'!L99)&lt;9,COUNT('Fin Statement'!M113,'Fin Statement'!M114,'Fin Statement'!M120)&lt;1,COUNT('Fin Statement'!L113,'Fin Statement'!L114,'Fin Statement'!L120)&lt;1),"",IF(ABS(AVERAGE('Fin Statement'!L131+SUM('Fin Statement'!L113,'Fin Statement'!L114,'Fin Statement'!L120)-'Fin Statement'!L98-'Fin Statement'!L99,'Fin Statement'!M131+SUM('Fin Statement'!M113,'Fin Statement'!M114,'Fin Statement'!M120)-'Fin Statement'!M98-'Fin Statement'!M99))&lt;0.1,"",('Fin Statement'!M22*(1-'Fin Statement'!M28/'Fin Statement'!M27))/AVERAGE('Fin Statement'!L131+SUM('Fin Statement'!L113,'Fin Statement'!L114,'Fin Statement'!L120)-'Fin Statement'!L98-'Fin Statement'!L99,'Fin Statement'!M131+SUM('Fin Statement'!M113,'Fin Statement'!M114,'Fin Statement'!M120)-'Fin Statement'!M98-'Fin Statement'!M99)))</f>
        <v>0.34067187279664224</v>
      </c>
      <c r="N144" s="315">
        <f>IF(OR(COUNT('Fin Statement'!N22,'Fin Statement'!N27,'Fin Statement'!N28,'Fin Statement'!N131,'Fin Statement'!N98,'Fin Statement'!N99,'Fin Statement'!M131,'Fin Statement'!M98,'Fin Statement'!M99)&lt;9,COUNT('Fin Statement'!N113,'Fin Statement'!N114,'Fin Statement'!N120)&lt;1,COUNT('Fin Statement'!M113,'Fin Statement'!M114,'Fin Statement'!M120)&lt;1),"",IF(ABS(AVERAGE('Fin Statement'!M131+SUM('Fin Statement'!M113,'Fin Statement'!M114,'Fin Statement'!M120)-'Fin Statement'!M98-'Fin Statement'!M99,'Fin Statement'!N131+SUM('Fin Statement'!N113,'Fin Statement'!N114,'Fin Statement'!N120)-'Fin Statement'!N98-'Fin Statement'!N99))&lt;0.1,"",('Fin Statement'!N22*(1-'Fin Statement'!N28/'Fin Statement'!N27))/AVERAGE('Fin Statement'!M131+SUM('Fin Statement'!M113,'Fin Statement'!M114,'Fin Statement'!M120)-'Fin Statement'!M98-'Fin Statement'!M99,'Fin Statement'!N131+SUM('Fin Statement'!N113,'Fin Statement'!N114,'Fin Statement'!N120)-'Fin Statement'!N98-'Fin Statement'!N99)))</f>
        <v>0.34983704301375101</v>
      </c>
    </row>
    <row r="145" spans="2:14" x14ac:dyDescent="0.35">
      <c r="B145" s="135" t="s">
        <v>126</v>
      </c>
      <c r="C145" s="130"/>
      <c r="D145" s="130"/>
      <c r="E145" s="315" t="str">
        <f>IF(E144="","",E144-WACC!E28)</f>
        <v/>
      </c>
      <c r="F145" s="315">
        <f ca="1">IF(F144="",0,F144-WACC!F28)</f>
        <v>0.48175355181514184</v>
      </c>
      <c r="G145" s="315">
        <f ca="1">IF(G144="",0,G144-WACC!G28)</f>
        <v>0.38118583557231139</v>
      </c>
      <c r="H145" s="315">
        <f ca="1">IF(H144="",0,H144-WACC!H28)</f>
        <v>0.30710172012081427</v>
      </c>
      <c r="I145" s="315">
        <f>IF(I144="",0,I144-WACC!I28)</f>
        <v>0.26804381329264426</v>
      </c>
      <c r="J145" s="315">
        <f>IF(J144="","",J144-WACC!$I$28)</f>
        <v>0.233901244092072</v>
      </c>
      <c r="K145" s="315">
        <f>IF(K144="","",K144-WACC!$I$28)</f>
        <v>0.23499183126403669</v>
      </c>
      <c r="L145" s="315">
        <f>IF(L144="","",L144-WACC!$I$28)</f>
        <v>0.24203643508631215</v>
      </c>
      <c r="M145" s="315">
        <f>IF(M144="","",M144-WACC!$I$28)</f>
        <v>0.25013628874482896</v>
      </c>
      <c r="N145" s="315">
        <f>IF(N144="","",N144-WACC!$I$28)</f>
        <v>0.25930145896193779</v>
      </c>
    </row>
    <row r="146" spans="2:14" x14ac:dyDescent="0.35">
      <c r="B146" s="135" t="s">
        <v>127</v>
      </c>
      <c r="C146" s="130"/>
      <c r="D146" s="130"/>
      <c r="E146" s="137" t="str">
        <f>""</f>
        <v/>
      </c>
      <c r="F146" s="315">
        <f>IFERROR((('Fin Statement'!F22*(1-'Fin Statement'!F28/'Fin Statement'!F27))-('Fin Statement'!E22*(1-'Fin Statement'!E28/'Fin Statement'!E27)))/(('Fin Statement'!F131+('Fin Statement'!F113+'Fin Statement'!F114+'Fin Statement'!F120)-'Fin Statement'!F98-'Fin Statement'!F99)-('Fin Statement'!E131+('Fin Statement'!E113+'Fin Statement'!E114+'Fin Statement'!E120)-'Fin Statement'!E98-'Fin Statement'!E99)),"")</f>
        <v>-2.3704492019399573E-2</v>
      </c>
      <c r="G146" s="315">
        <f>IFERROR((('Fin Statement'!G22*(1-'Fin Statement'!G28/'Fin Statement'!G27))-('Fin Statement'!F22*(1-'Fin Statement'!F28/'Fin Statement'!F27)))/(('Fin Statement'!G131+('Fin Statement'!G113+'Fin Statement'!G114+'Fin Statement'!G120)-'Fin Statement'!G98-'Fin Statement'!G99)-('Fin Statement'!F131+('Fin Statement'!F113+'Fin Statement'!F114+'Fin Statement'!F120)-'Fin Statement'!F98-'Fin Statement'!F99)),"")</f>
        <v>0.17348886150873849</v>
      </c>
      <c r="H146" s="315">
        <f>IFERROR((('Fin Statement'!H22*(1-'Fin Statement'!H28/'Fin Statement'!H27))-('Fin Statement'!G22*(1-'Fin Statement'!G28/'Fin Statement'!G27)))/(('Fin Statement'!H131+('Fin Statement'!H113+'Fin Statement'!H114+'Fin Statement'!H120)-'Fin Statement'!H98-'Fin Statement'!H99)-('Fin Statement'!G131+('Fin Statement'!G113+'Fin Statement'!G114+'Fin Statement'!G120)-'Fin Statement'!G98-'Fin Statement'!G99)),"")</f>
        <v>0.34498344840908135</v>
      </c>
      <c r="I146" s="316">
        <f>IFERROR((('Fin Statement'!I22*(1-'Fin Statement'!I28/'Fin Statement'!I27))-('Fin Statement'!H22*(1-'Fin Statement'!H28/'Fin Statement'!H27)))/(('Fin Statement'!I131+('Fin Statement'!I113+'Fin Statement'!I114+'Fin Statement'!I120)-'Fin Statement'!I98-'Fin Statement'!I99)-('Fin Statement'!H131+('Fin Statement'!H113+'Fin Statement'!H114+'Fin Statement'!H120)-'Fin Statement'!H98-'Fin Statement'!H99)),"")</f>
        <v>0.16926553246697312</v>
      </c>
      <c r="J146" s="315">
        <f>IF(OR(COUNT('Fin Statement'!J22,'Fin Statement'!J27,'Fin Statement'!J28,'Fin Statement'!I22,'Fin Statement'!I27,'Fin Statement'!I28,'Fin Statement'!J131,'Fin Statement'!J98,'Fin Statement'!J99,'Fin Statement'!I131,'Fin Statement'!I98,'Fin Statement'!I99)&lt;12,COUNT('Fin Statement'!J113,'Fin Statement'!J114,'Fin Statement'!J120)&lt;1,COUNT('Fin Statement'!I113,'Fin Statement'!I114,'Fin Statement'!I120)&lt;1),"",IF(ABS(('Fin Statement'!J131+SUM('Fin Statement'!J113,'Fin Statement'!J114,'Fin Statement'!J120)-'Fin Statement'!J98-'Fin Statement'!J99)-('Fin Statement'!I131+SUM('Fin Statement'!I113,'Fin Statement'!I114,'Fin Statement'!I120)-'Fin Statement'!I98-'Fin Statement'!I99))&lt;0.1,"",(('Fin Statement'!J22*(1-'Fin Statement'!J28/'Fin Statement'!J27))-('Fin Statement'!I22*(1-'Fin Statement'!I28/'Fin Statement'!I27)))/(('Fin Statement'!J131+SUM('Fin Statement'!J113,'Fin Statement'!J114,'Fin Statement'!J120)-'Fin Statement'!J98-'Fin Statement'!J99)-('Fin Statement'!I131+SUM('Fin Statement'!I113,'Fin Statement'!I114,'Fin Statement'!I120)-'Fin Statement'!I98-'Fin Statement'!I99))))</f>
        <v>0.24316653834928692</v>
      </c>
      <c r="K146" s="315">
        <f>IF(OR(COUNT('Fin Statement'!K22,'Fin Statement'!K27,'Fin Statement'!K28,'Fin Statement'!J22,'Fin Statement'!J27,'Fin Statement'!J28,'Fin Statement'!K131,'Fin Statement'!K98,'Fin Statement'!K99,'Fin Statement'!J131,'Fin Statement'!J98,'Fin Statement'!J99)&lt;12,COUNT('Fin Statement'!K113,'Fin Statement'!K114,'Fin Statement'!K120)&lt;1,COUNT('Fin Statement'!J113,'Fin Statement'!J114,'Fin Statement'!J120)&lt;1),"",IF(ABS(('Fin Statement'!K131+SUM('Fin Statement'!K113,'Fin Statement'!K114,'Fin Statement'!K120)-'Fin Statement'!K98-'Fin Statement'!K99)-('Fin Statement'!J131+SUM('Fin Statement'!J113,'Fin Statement'!J114,'Fin Statement'!J120)-'Fin Statement'!J98-'Fin Statement'!J99))&lt;0.1,"",(('Fin Statement'!K22*(1-'Fin Statement'!K28/'Fin Statement'!K27))-('Fin Statement'!J22*(1-'Fin Statement'!J28/'Fin Statement'!J27)))/(('Fin Statement'!K131+SUM('Fin Statement'!K113,'Fin Statement'!K114,'Fin Statement'!K120)-'Fin Statement'!K98-'Fin Statement'!K99)-('Fin Statement'!J131+SUM('Fin Statement'!J113,'Fin Statement'!J114,'Fin Statement'!J120)-'Fin Statement'!J98-'Fin Statement'!J99))))</f>
        <v>0.33128165255340108</v>
      </c>
      <c r="L146" s="315">
        <f>IF(OR(COUNT('Fin Statement'!L22,'Fin Statement'!L27,'Fin Statement'!L28,'Fin Statement'!K22,'Fin Statement'!K27,'Fin Statement'!K28,'Fin Statement'!L131,'Fin Statement'!L98,'Fin Statement'!L99,'Fin Statement'!K131,'Fin Statement'!K98,'Fin Statement'!K99)&lt;12,COUNT('Fin Statement'!L113,'Fin Statement'!L114,'Fin Statement'!L120)&lt;1,COUNT('Fin Statement'!K113,'Fin Statement'!K114,'Fin Statement'!K120)&lt;1),"",IF(ABS(('Fin Statement'!L131+SUM('Fin Statement'!L113,'Fin Statement'!L114,'Fin Statement'!L120)-'Fin Statement'!L98-'Fin Statement'!L99)-('Fin Statement'!K131+SUM('Fin Statement'!K113,'Fin Statement'!K114,'Fin Statement'!K120)-'Fin Statement'!K98-'Fin Statement'!K99))&lt;0.1,"",(('Fin Statement'!L22*(1-'Fin Statement'!L28/'Fin Statement'!L27))-('Fin Statement'!K22*(1-'Fin Statement'!K28/'Fin Statement'!K27)))/(('Fin Statement'!L131+SUM('Fin Statement'!L113,'Fin Statement'!L114,'Fin Statement'!L120)-'Fin Statement'!L98-'Fin Statement'!L99)-('Fin Statement'!K131+SUM('Fin Statement'!K113,'Fin Statement'!K114,'Fin Statement'!K120)-'Fin Statement'!K98-'Fin Statement'!K99))))</f>
        <v>0.37954386498652831</v>
      </c>
      <c r="M146" s="315">
        <f>IF(OR(COUNT('Fin Statement'!M22,'Fin Statement'!M27,'Fin Statement'!M28,'Fin Statement'!L22,'Fin Statement'!L27,'Fin Statement'!L28,'Fin Statement'!M131,'Fin Statement'!M98,'Fin Statement'!M99,'Fin Statement'!L131,'Fin Statement'!L98,'Fin Statement'!L99)&lt;12,COUNT('Fin Statement'!M113,'Fin Statement'!M114,'Fin Statement'!M120)&lt;1,COUNT('Fin Statement'!L113,'Fin Statement'!L114,'Fin Statement'!L120)&lt;1),"",IF(ABS(('Fin Statement'!M131+SUM('Fin Statement'!M113,'Fin Statement'!M114,'Fin Statement'!M120)-'Fin Statement'!M98-'Fin Statement'!M99)-('Fin Statement'!L131+SUM('Fin Statement'!L113,'Fin Statement'!L114,'Fin Statement'!L120)-'Fin Statement'!L98-'Fin Statement'!L99))&lt;0.1,"",(('Fin Statement'!M22*(1-'Fin Statement'!M28/'Fin Statement'!M27))-('Fin Statement'!L22*(1-'Fin Statement'!L28/'Fin Statement'!L27)))/(('Fin Statement'!M131+SUM('Fin Statement'!M113,'Fin Statement'!M114,'Fin Statement'!M120)-'Fin Statement'!M98-'Fin Statement'!M99)-('Fin Statement'!L131+SUM('Fin Statement'!L113,'Fin Statement'!L114,'Fin Statement'!L120)-'Fin Statement'!L98-'Fin Statement'!L99))))</f>
        <v>0.3951464930589394</v>
      </c>
      <c r="N146" s="315">
        <f>IF(OR(COUNT('Fin Statement'!N22,'Fin Statement'!N27,'Fin Statement'!N28,'Fin Statement'!M22,'Fin Statement'!M27,'Fin Statement'!M28,'Fin Statement'!N131,'Fin Statement'!N98,'Fin Statement'!N99,'Fin Statement'!M131,'Fin Statement'!M98,'Fin Statement'!M99)&lt;12,COUNT('Fin Statement'!N113,'Fin Statement'!N114,'Fin Statement'!N120)&lt;1,COUNT('Fin Statement'!M113,'Fin Statement'!M114,'Fin Statement'!M120)&lt;1),"",IF(ABS(('Fin Statement'!N131+SUM('Fin Statement'!N113,'Fin Statement'!N114,'Fin Statement'!N120)-'Fin Statement'!N98-'Fin Statement'!N99)-('Fin Statement'!M131+SUM('Fin Statement'!M113,'Fin Statement'!M114,'Fin Statement'!M120)-'Fin Statement'!M98-'Fin Statement'!M99))&lt;0.1,"",(('Fin Statement'!N22*(1-'Fin Statement'!N28/'Fin Statement'!N27))-('Fin Statement'!M22*(1-'Fin Statement'!M28/'Fin Statement'!M27)))/(('Fin Statement'!N131+SUM('Fin Statement'!N113,'Fin Statement'!N114,'Fin Statement'!N120)-'Fin Statement'!N98-'Fin Statement'!N99)-('Fin Statement'!M131+SUM('Fin Statement'!M113,'Fin Statement'!M114,'Fin Statement'!M120)-'Fin Statement'!M98-'Fin Statement'!M99))))</f>
        <v>0.42799164418597313</v>
      </c>
    </row>
    <row r="147" spans="2:14" x14ac:dyDescent="0.35">
      <c r="B147" s="135" t="s">
        <v>128</v>
      </c>
      <c r="C147" s="130"/>
      <c r="D147" s="130"/>
      <c r="E147" s="137" t="str">
        <f>""</f>
        <v/>
      </c>
      <c r="F147" s="315">
        <f>IF(OR('Fin Statement'!F9="",'Fin Statement'!E9=""),"",'Fin Statement'!F9/'Fin Statement'!E9-1)</f>
        <v>6.8820295556564215E-2</v>
      </c>
      <c r="G147" s="315">
        <f>IF(OR('Fin Statement'!G9="",'Fin Statement'!F9=""),"",'Fin Statement'!G9/'Fin Statement'!F9-1)</f>
        <v>0.1566996201307127</v>
      </c>
      <c r="H147" s="315">
        <f>IF(OR('Fin Statement'!H9="",'Fin Statement'!G9=""),"",'Fin Statement'!H9/'Fin Statement'!G9-1)</f>
        <v>0.14932156232406713</v>
      </c>
      <c r="I147" s="316">
        <f>IF(OR('Fin Statement'!I9="",'Fin Statement'!H9=""),"",'Fin Statement'!I9/'Fin Statement'!H9-1)</f>
        <v>0.17788686799846665</v>
      </c>
      <c r="J147" s="315">
        <f>IF(OR('Fin Statement'!J9="",'Fin Statement'!I9=""),"",'Fin Statement'!J9/'Fin Statement'!I9-1)</f>
        <v>0.17535624203303413</v>
      </c>
      <c r="K147" s="315">
        <f>IF(OR('Fin Statement'!K9="",'Fin Statement'!J9=""),"",'Fin Statement'!K9/'Fin Statement'!J9-1)</f>
        <v>0.1801314845684312</v>
      </c>
      <c r="L147" s="315">
        <f>IF(OR('Fin Statement'!L9="",'Fin Statement'!K9=""),"",'Fin Statement'!L9/'Fin Statement'!K9-1)</f>
        <v>0.16561299308222921</v>
      </c>
      <c r="M147" s="315">
        <f>IF(OR('Fin Statement'!M9="",'Fin Statement'!L9=""),"",'Fin Statement'!M9/'Fin Statement'!L9-1)</f>
        <v>0.15228653660025526</v>
      </c>
      <c r="N147" s="315">
        <f>IF(OR('Fin Statement'!N9="",'Fin Statement'!M9=""),"",'Fin Statement'!N9/'Fin Statement'!M9-1)</f>
        <v>0.13556433373388388</v>
      </c>
    </row>
    <row r="148" spans="2:14" x14ac:dyDescent="0.35">
      <c r="B148" s="128" t="s">
        <v>129</v>
      </c>
      <c r="C148" s="130"/>
      <c r="D148" s="130"/>
      <c r="E148" s="136"/>
      <c r="F148" s="136"/>
      <c r="G148" s="136"/>
      <c r="H148" s="136"/>
      <c r="I148" s="136"/>
      <c r="J148" s="136"/>
      <c r="K148" s="136"/>
      <c r="L148" s="136"/>
      <c r="M148" s="136"/>
      <c r="N148" s="136"/>
    </row>
    <row r="149" spans="2:14" x14ac:dyDescent="0.35">
      <c r="B149" s="135" t="s">
        <v>130</v>
      </c>
      <c r="C149" s="130"/>
      <c r="D149" s="146"/>
      <c r="E149" s="45">
        <f>IFERROR('Fin Statement'!E103/'Fin Statement'!E119,"")</f>
        <v>1.7846069708251824</v>
      </c>
      <c r="F149" s="45">
        <f>IFERROR('Fin Statement'!F103/'Fin Statement'!F119,"")</f>
        <v>1.7691672507657299</v>
      </c>
      <c r="G149" s="45">
        <f>IFERROR('Fin Statement'!G103/'Fin Statement'!G119,"")</f>
        <v>1.2749549031815206</v>
      </c>
      <c r="H149" s="45">
        <f>IFERROR('Fin Statement'!H103/'Fin Statement'!H119,"")</f>
        <v>1.3534464445042416</v>
      </c>
      <c r="I149" s="46">
        <f>IFERROR('Fin Statement'!I103/'Fin Statement'!I119,"")</f>
        <v>1.2303272619576484</v>
      </c>
      <c r="J149" s="45">
        <f>IFERROR('Fin Statement'!J103/'Fin Statement'!J119,"")</f>
        <v>1.3866498316636784</v>
      </c>
      <c r="K149" s="45">
        <f>IFERROR('Fin Statement'!K103/'Fin Statement'!K119,"")</f>
        <v>1.5033693001057213</v>
      </c>
      <c r="L149" s="45">
        <f>IFERROR('Fin Statement'!L103/'Fin Statement'!L119,"")</f>
        <v>1.6802898051944262</v>
      </c>
      <c r="M149" s="45">
        <f>IFERROR('Fin Statement'!M103/'Fin Statement'!M119,"")</f>
        <v>1.9143473534484485</v>
      </c>
      <c r="N149" s="45">
        <f>IFERROR('Fin Statement'!N103/'Fin Statement'!N119,"")</f>
        <v>2.2098206665219302</v>
      </c>
    </row>
    <row r="150" spans="2:14" x14ac:dyDescent="0.35">
      <c r="B150" s="135" t="s">
        <v>131</v>
      </c>
      <c r="C150" s="130"/>
      <c r="D150" s="146"/>
      <c r="E150" s="45">
        <f>IF(OR('Fin Statement'!E119="",'Fin Statement'!E119=0),"",SUM('Fin Statement'!E98:'Fin Statement'!E100)/'Fin Statement'!E119)</f>
        <v>1.567257735428367</v>
      </c>
      <c r="F150" s="45">
        <f>IF(OR('Fin Statement'!F119="",'Fin Statement'!F119=0),"",SUM('Fin Statement'!F98:'Fin Statement'!F100)/'Fin Statement'!F119)</f>
        <v>1.5357804683674352</v>
      </c>
      <c r="G150" s="45">
        <f>IF(OR('Fin Statement'!G119="",'Fin Statement'!G119=0),"",SUM('Fin Statement'!G98:'Fin Statement'!G100)/'Fin Statement'!G119)</f>
        <v>1.0573168590265472</v>
      </c>
      <c r="H150" s="45">
        <f>IF(OR('Fin Statement'!H119="",'Fin Statement'!H119=0),"",SUM('Fin Statement'!H98:'Fin Statement'!H100)/'Fin Statement'!H119)</f>
        <v>1.1646532311744962</v>
      </c>
      <c r="I150" s="46">
        <f>IF(OR('Fin Statement'!I119="",'Fin Statement'!I119=0),"",SUM('Fin Statement'!I98:'Fin Statement'!I100)/'Fin Statement'!I119)</f>
        <v>0.93421590404264776</v>
      </c>
      <c r="J150" s="45">
        <f>IF(OR('Fin Statement'!J119="",'Fin Statement'!J119=0),"",SUM('Fin Statement'!J98:'Fin Statement'!J100)/'Fin Statement'!J119)</f>
        <v>1.1024082533099446</v>
      </c>
      <c r="K150" s="45">
        <f>IF(OR('Fin Statement'!K119="",'Fin Statement'!K119=0),"",SUM('Fin Statement'!K98:'Fin Statement'!K100)/'Fin Statement'!K119)</f>
        <v>1.2557170515635001</v>
      </c>
      <c r="L150" s="45">
        <f>IF(OR('Fin Statement'!L119="",'Fin Statement'!L119=0),"",SUM('Fin Statement'!L98:'Fin Statement'!L100)/'Fin Statement'!L119)</f>
        <v>1.4644623859775623</v>
      </c>
      <c r="M150" s="45">
        <f>IF(OR('Fin Statement'!M119="",'Fin Statement'!M119=0),"",SUM('Fin Statement'!M98:'Fin Statement'!M100)/'Fin Statement'!M119)</f>
        <v>1.7229177519480359</v>
      </c>
      <c r="N150" s="45">
        <f>IF(OR('Fin Statement'!N119="",'Fin Statement'!N119=0),"",SUM('Fin Statement'!N98:'Fin Statement'!N100)/'Fin Statement'!N119)</f>
        <v>2.0366239247584912</v>
      </c>
    </row>
    <row r="151" spans="2:14" x14ac:dyDescent="0.35">
      <c r="B151" s="135" t="s">
        <v>132</v>
      </c>
      <c r="C151" s="130"/>
      <c r="D151" s="146"/>
      <c r="E151" s="45">
        <f>IF(OR('Fin Statement'!E119="",'Fin Statement'!E119=0),"",SUM('Fin Statement'!E98:'Fin Statement'!E99)/'Fin Statement'!E119)</f>
        <v>1.1017542752571465</v>
      </c>
      <c r="F151" s="45">
        <f>IF(OR('Fin Statement'!F119="",'Fin Statement'!F119=0),"",SUM('Fin Statement'!F98:'Fin Statement'!F99)/'Fin Statement'!F119)</f>
        <v>1.0682963830665682</v>
      </c>
      <c r="G151" s="45">
        <f>IF(OR('Fin Statement'!G119="",'Fin Statement'!G119=0),"",SUM('Fin Statement'!G98:'Fin Statement'!G99)/'Fin Statement'!G119)</f>
        <v>0.60296441741295914</v>
      </c>
      <c r="H151" s="45">
        <f>IF(OR('Fin Statement'!H119="",'Fin Statement'!H119=0),"",SUM('Fin Statement'!H98:'Fin Statement'!H99)/'Fin Statement'!H119)</f>
        <v>0.66963843136144119</v>
      </c>
      <c r="I151" s="46">
        <f>IF(OR('Fin Statement'!I119="",'Fin Statement'!I119=0),"",SUM('Fin Statement'!I98:'Fin Statement'!I99)/'Fin Statement'!I119)</f>
        <v>0.45516363097882423</v>
      </c>
      <c r="J151" s="45">
        <f>IF(OR('Fin Statement'!J119="",'Fin Statement'!J119=0),"",SUM('Fin Statement'!J98:'Fin Statement'!J99)/'Fin Statement'!J119)</f>
        <v>0.56639444973492437</v>
      </c>
      <c r="K151" s="45">
        <f>IF(OR('Fin Statement'!K119="",'Fin Statement'!K119=0),"",SUM('Fin Statement'!K98:'Fin Statement'!K99)/'Fin Statement'!K119)</f>
        <v>0.70817266050677552</v>
      </c>
      <c r="L151" s="45">
        <f>IF(OR('Fin Statement'!L119="",'Fin Statement'!L119=0),"",SUM('Fin Statement'!L98:'Fin Statement'!L99)/'Fin Statement'!L119)</f>
        <v>0.91821017216946743</v>
      </c>
      <c r="M151" s="45">
        <f>IF(OR('Fin Statement'!M119="",'Fin Statement'!M119=0),"",SUM('Fin Statement'!M98:'Fin Statement'!M99)/'Fin Statement'!M119)</f>
        <v>1.1686004116440025</v>
      </c>
      <c r="N151" s="45">
        <f>IF(OR('Fin Statement'!N119="",'Fin Statement'!N119=0),"",SUM('Fin Statement'!N98:'Fin Statement'!N99)/'Fin Statement'!N119)</f>
        <v>1.4776165767561125</v>
      </c>
    </row>
    <row r="152" spans="2:14" x14ac:dyDescent="0.35">
      <c r="B152" s="135" t="s">
        <v>133</v>
      </c>
      <c r="C152" s="130"/>
      <c r="D152" s="130"/>
      <c r="E152" s="137" t="str">
        <f>""</f>
        <v/>
      </c>
      <c r="F152" s="315">
        <f>IF(OR('Fin Statement'!F22="",'Fin Statement'!E22=""),"",'Fin Statement'!F22/'Fin Statement'!E22-1)</f>
        <v>6.1643260616672357E-2</v>
      </c>
      <c r="G152" s="315">
        <f>IF(OR('Fin Statement'!G22="",'Fin Statement'!F22=""),"",'Fin Statement'!G22/'Fin Statement'!F22-1)</f>
        <v>0.23620979858341906</v>
      </c>
      <c r="H152" s="315">
        <f>IF(OR('Fin Statement'!H22="",'Fin Statement'!G22=""),"",'Fin Statement'!H22/'Fin Statement'!G22-1)</f>
        <v>0.17449032741494785</v>
      </c>
      <c r="I152" s="316">
        <f>IF(OR('Fin Statement'!I22="",'Fin Statement'!H22=""),"",'Fin Statement'!I22/'Fin Statement'!H22-1)</f>
        <v>0.20780685920577624</v>
      </c>
      <c r="J152" s="315">
        <f>IF(OR('Fin Statement'!J22="",'Fin Statement'!I22=""),"",'Fin Statement'!J22/'Fin Statement'!I22-1)</f>
        <v>0.16578827573323407</v>
      </c>
      <c r="K152" s="315">
        <f>IF(OR('Fin Statement'!K22="",'Fin Statement'!J22=""),"",'Fin Statement'!K22/'Fin Statement'!J22-1)</f>
        <v>0.18521825820881221</v>
      </c>
      <c r="L152" s="315">
        <f>IF(OR('Fin Statement'!L22="",'Fin Statement'!K22=""),"",'Fin Statement'!L22/'Fin Statement'!K22-1)</f>
        <v>0.17811957026122305</v>
      </c>
      <c r="M152" s="315">
        <f>IF(OR('Fin Statement'!M22="",'Fin Statement'!L22=""),"",'Fin Statement'!M22/'Fin Statement'!L22-1)</f>
        <v>0.16207240952255075</v>
      </c>
      <c r="N152" s="315">
        <f>IF(OR('Fin Statement'!N22="",'Fin Statement'!M22=""),"",'Fin Statement'!N22/'Fin Statement'!M22-1)</f>
        <v>0.14990830426525914</v>
      </c>
    </row>
    <row r="153" spans="2:14" x14ac:dyDescent="0.35">
      <c r="B153" s="128" t="s">
        <v>134</v>
      </c>
      <c r="C153" s="130"/>
      <c r="D153" s="130"/>
      <c r="E153" s="136"/>
      <c r="F153" s="136"/>
      <c r="G153" s="136"/>
      <c r="H153" s="136"/>
      <c r="I153" s="136"/>
      <c r="J153" s="136"/>
      <c r="K153" s="136"/>
      <c r="L153" s="136"/>
      <c r="M153" s="136"/>
      <c r="N153" s="136"/>
    </row>
    <row r="154" spans="2:14" x14ac:dyDescent="0.35">
      <c r="B154" s="135" t="s">
        <v>135</v>
      </c>
      <c r="C154" s="130"/>
      <c r="D154" s="146"/>
      <c r="E154" s="45">
        <f>IFERROR(('Fin Statement'!E113+'Fin Statement'!E114+'Fin Statement'!E120)/'Fin Statement'!E131,"")</f>
        <v>0.29890958436910808</v>
      </c>
      <c r="F154" s="45">
        <f>IFERROR(('Fin Statement'!F113+'Fin Statement'!F114+'Fin Statement'!F120)/'Fin Statement'!F131,"")</f>
        <v>0.2290578645446919</v>
      </c>
      <c r="G154" s="45">
        <f>IFERROR(('Fin Statement'!G113+'Fin Statement'!G114+'Fin Statement'!G120)/'Fin Statement'!G131,"")</f>
        <v>0.19230697601656752</v>
      </c>
      <c r="H154" s="45">
        <f>IFERROR(('Fin Statement'!H113+'Fin Statement'!H114+'Fin Statement'!H120)/'Fin Statement'!H131,"")</f>
        <v>0.12562922332951942</v>
      </c>
      <c r="I154" s="46">
        <f>IFERROR(('Fin Statement'!I113+'Fin Statement'!I114+'Fin Statement'!I120)/'Fin Statement'!I131,"")</f>
        <v>9.1083146656660341E-2</v>
      </c>
      <c r="J154" s="45">
        <f>IFERROR(('Fin Statement'!J113+'Fin Statement'!J114+'Fin Statement'!J120)/'Fin Statement'!J131,"")</f>
        <v>6.9381131147188677E-2</v>
      </c>
      <c r="K154" s="45">
        <f>IFERROR(('Fin Statement'!K113+'Fin Statement'!K114+'Fin Statement'!K120)/'Fin Statement'!K131,"")</f>
        <v>5.178663179369155E-2</v>
      </c>
      <c r="L154" s="45">
        <f>IFERROR(('Fin Statement'!L113+'Fin Statement'!L114+'Fin Statement'!L120)/'Fin Statement'!L131,"")</f>
        <v>4.0629229572993003E-2</v>
      </c>
      <c r="M154" s="45">
        <f>IFERROR(('Fin Statement'!M113+'Fin Statement'!M114+'Fin Statement'!M120)/'Fin Statement'!M131,"")</f>
        <v>3.1066022018285649E-2</v>
      </c>
      <c r="N154" s="45">
        <f>IFERROR(('Fin Statement'!N113+'Fin Statement'!N114+'Fin Statement'!N120)/'Fin Statement'!N131,"")</f>
        <v>2.405426770594641E-2</v>
      </c>
    </row>
    <row r="155" spans="2:14" x14ac:dyDescent="0.35">
      <c r="B155" s="135" t="s">
        <v>136</v>
      </c>
      <c r="C155" s="130"/>
      <c r="D155" s="146"/>
      <c r="E155" s="315">
        <f>IFERROR(('Fin Statement'!E113+'Fin Statement'!E114+'Fin Statement'!E120)/'Fin Statement'!E109,"")</f>
        <v>0.13644611336476264</v>
      </c>
      <c r="F155" s="315">
        <f>IFERROR(('Fin Statement'!F113+'Fin Statement'!F114+'Fin Statement'!F120)/'Fin Statement'!F109,"")</f>
        <v>0.11465959182088277</v>
      </c>
      <c r="G155" s="315">
        <f>IFERROR(('Fin Statement'!G113+'Fin Statement'!G114+'Fin Statement'!G120)/'Fin Statement'!G109,"")</f>
        <v>0.10080775065750552</v>
      </c>
      <c r="H155" s="315">
        <f>IFERROR(('Fin Statement'!H113+'Fin Statement'!H114+'Fin Statement'!H120)/'Fin Statement'!H109,"")</f>
        <v>6.9710486055802642E-2</v>
      </c>
      <c r="I155" s="316">
        <f>IFERROR(('Fin Statement'!I113+'Fin Statement'!I114+'Fin Statement'!I120)/'Fin Statement'!I109,"")</f>
        <v>5.3131955652605041E-2</v>
      </c>
      <c r="J155" s="315">
        <f>IFERROR(('Fin Statement'!J113+'Fin Statement'!J114+'Fin Statement'!J120)/'Fin Statement'!J109,"")</f>
        <v>4.2081258001883774E-2</v>
      </c>
      <c r="K155" s="315">
        <f>IFERROR(('Fin Statement'!K113+'Fin Statement'!K114+'Fin Statement'!K120)/'Fin Statement'!K109,"")</f>
        <v>3.2628124855903065E-2</v>
      </c>
      <c r="L155" s="315">
        <f>IFERROR(('Fin Statement'!L113+'Fin Statement'!L114+'Fin Statement'!L120)/'Fin Statement'!L109,"")</f>
        <v>2.6550634543938668E-2</v>
      </c>
      <c r="M155" s="315">
        <f>IFERROR(('Fin Statement'!M113+'Fin Statement'!M114+'Fin Statement'!M120)/'Fin Statement'!M109,"")</f>
        <v>2.103757480603952E-2</v>
      </c>
      <c r="N155" s="315">
        <f>IFERROR(('Fin Statement'!N113+'Fin Statement'!N114+'Fin Statement'!N120)/'Fin Statement'!N109,"")</f>
        <v>1.6846733477791746E-2</v>
      </c>
    </row>
    <row r="156" spans="2:14" x14ac:dyDescent="0.35">
      <c r="B156" s="135" t="s">
        <v>137</v>
      </c>
      <c r="C156" s="130"/>
      <c r="D156" s="146"/>
      <c r="E156" s="45">
        <f>IFERROR('Fin Statement'!E74/('Fin Statement'!E113+'Fin Statement'!E114+'Fin Statement'!E120),"")</f>
        <v>1.7885337779474098</v>
      </c>
      <c r="F156" s="45">
        <f>IFERROR('Fin Statement'!F74/('Fin Statement'!F113+'Fin Statement'!F114+'Fin Statement'!F120),"")</f>
        <v>1.8540974236297818</v>
      </c>
      <c r="G156" s="45">
        <f>IFERROR('Fin Statement'!G74/('Fin Statement'!G113+'Fin Statement'!G114+'Fin Statement'!G120),"")</f>
        <v>2.2961069145845441</v>
      </c>
      <c r="H156" s="45">
        <f>IFERROR('Fin Statement'!H74/('Fin Statement'!H113+'Fin Statement'!H114+'Fin Statement'!H120),"")</f>
        <v>3.1554772774674977</v>
      </c>
      <c r="I156" s="46">
        <f>IFERROR('Fin Statement'!I74/('Fin Statement'!I113+'Fin Statement'!I114+'Fin Statement'!I120),"")</f>
        <v>4.5400059562217701</v>
      </c>
      <c r="J156" s="45">
        <f>IFERROR('Fin Statement'!J74/('Fin Statement'!J113+'Fin Statement'!J114+'Fin Statement'!J120),"")</f>
        <v>5.8313793408620631</v>
      </c>
      <c r="K156" s="45">
        <f>IFERROR('Fin Statement'!K74/('Fin Statement'!K113+'Fin Statement'!K114+'Fin Statement'!K120),"")</f>
        <v>7.6137145594432782</v>
      </c>
      <c r="L156" s="45">
        <f>IFERROR('Fin Statement'!L74/('Fin Statement'!L113+'Fin Statement'!L114+'Fin Statement'!L120),"")</f>
        <v>9.3846391374410913</v>
      </c>
      <c r="M156" s="45">
        <f>IFERROR('Fin Statement'!M74/('Fin Statement'!M113+'Fin Statement'!M114+'Fin Statement'!M120),"")</f>
        <v>11.660846308232502</v>
      </c>
      <c r="N156" s="45">
        <f>IFERROR('Fin Statement'!N74/('Fin Statement'!N113+'Fin Statement'!N114+'Fin Statement'!N120),"")</f>
        <v>14.355345000530251</v>
      </c>
    </row>
    <row r="157" spans="2:14" x14ac:dyDescent="0.35">
      <c r="B157" s="135" t="s">
        <v>138</v>
      </c>
      <c r="C157" s="130"/>
      <c r="D157" s="146"/>
      <c r="E157" s="317">
        <f>IF(OR('Fin Statement'!E22="",'Fin Statement'!E24=""),"",'Fin Statement'!E22/ABS('Fin Statement'!E24))</f>
        <v>40.418322830828892</v>
      </c>
      <c r="F157" s="317">
        <f>IF(OR('Fin Statement'!F22="",'Fin Statement'!F24=""),"",'Fin Statement'!F22/ABS('Fin Statement'!F24))</f>
        <v>44.981199186991873</v>
      </c>
      <c r="G157" s="317">
        <f>IF(OR('Fin Statement'!G22="",'Fin Statement'!G24=""),"",'Fin Statement'!G22/ABS('Fin Statement'!G24))</f>
        <v>37.285519591141394</v>
      </c>
      <c r="H157" s="317">
        <f>IF(OR('Fin Statement'!H22="",'Fin Statement'!H24=""),"",'Fin Statement'!H22/ABS('Fin Statement'!H24))</f>
        <v>53.89014675052411</v>
      </c>
      <c r="I157" s="318">
        <f>IF(OR('Fin Statement'!I22="",'Fin Statement'!I24=""),"",'Fin Statement'!I22/ABS('Fin Statement'!I24))</f>
        <v>50.880694854146185</v>
      </c>
      <c r="J157" s="317">
        <f>IF(OR('Fin Statement'!J22="",'Fin Statement'!J24=""),"",'Fin Statement'!J22/ABS('Fin Statement'!J24))</f>
        <v>35.010863820907709</v>
      </c>
      <c r="K157" s="317">
        <f>IF(OR('Fin Statement'!K22="",'Fin Statement'!K24=""),"",'Fin Statement'!K22/ABS('Fin Statement'!K24))</f>
        <v>39.380956119510159</v>
      </c>
      <c r="L157" s="317">
        <f>IF(OR('Fin Statement'!L22="",'Fin Statement'!L24=""),"",'Fin Statement'!L22/ABS('Fin Statement'!L24))</f>
        <v>44.234438140101346</v>
      </c>
      <c r="M157" s="317">
        <f>IF(OR('Fin Statement'!M22="",'Fin Statement'!M24=""),"",'Fin Statement'!M22/ABS('Fin Statement'!M24))</f>
        <v>49.228117946843383</v>
      </c>
      <c r="N157" s="317">
        <f>IF(OR('Fin Statement'!N22="",'Fin Statement'!N24=""),"",'Fin Statement'!N22/ABS('Fin Statement'!N24))</f>
        <v>54.71447450900196</v>
      </c>
    </row>
    <row r="158" spans="2:14" x14ac:dyDescent="0.35">
      <c r="B158" s="135" t="s">
        <v>813</v>
      </c>
      <c r="C158" s="130"/>
      <c r="D158" s="146"/>
      <c r="E158" s="45">
        <f>IF(COUNT('Fin Statement'!E98,'Fin Statement'!E99,'Fin Statement'!E74)&lt;3,"",IF(ABS('Fin Statement'!E74)&lt;0.1,"",('Fin Statement'!E98+'Fin Statement'!E99-SUM('Fin Statement'!E113,'Fin Statement'!E114,'Fin Statement'!E120))/'Fin Statement'!E74))</f>
        <v>0.61746504183747963</v>
      </c>
      <c r="F158" s="45">
        <f>IF(COUNT('Fin Statement'!F98,'Fin Statement'!F99,'Fin Statement'!F74)&lt;3,"",IF(ABS('Fin Statement'!F74)&lt;0.1,"",('Fin Statement'!F98+'Fin Statement'!F99-SUM('Fin Statement'!F113,'Fin Statement'!F114,'Fin Statement'!F120))/'Fin Statement'!F74))</f>
        <v>0.73102920691466278</v>
      </c>
      <c r="G158" s="45">
        <f>IF(COUNT('Fin Statement'!G98,'Fin Statement'!G99,'Fin Statement'!G74)&lt;3,"",IF(ABS('Fin Statement'!G74)&lt;0.1,"",('Fin Statement'!G98+'Fin Statement'!G99-SUM('Fin Statement'!G113,'Fin Statement'!G114,'Fin Statement'!G120))/'Fin Statement'!G74))</f>
        <v>0.20171576070452474</v>
      </c>
      <c r="H158" s="45">
        <f>IF(COUNT('Fin Statement'!H98,'Fin Statement'!H99,'Fin Statement'!H74)&lt;3,"",IF(ABS('Fin Statement'!H74)&lt;0.1,"",('Fin Statement'!H98+'Fin Statement'!H99-SUM('Fin Statement'!H113,'Fin Statement'!H114,'Fin Statement'!H120))/'Fin Statement'!H74))</f>
        <v>0.37759433615839955</v>
      </c>
      <c r="I158" s="45">
        <f>IF(COUNT('Fin Statement'!I98,'Fin Statement'!I99,'Fin Statement'!I74)&lt;3,"",IF(ABS('Fin Statement'!I74)&lt;0.1,"",('Fin Statement'!I98+'Fin Statement'!I99-SUM('Fin Statement'!I113,'Fin Statement'!I114,'Fin Statement'!I120))/'Fin Statement'!I74))</f>
        <v>0.19979227594500779</v>
      </c>
      <c r="J158" s="45">
        <f>IF(COUNT('Fin Statement'!J98,'Fin Statement'!J99,'Fin Statement'!J74)&lt;3,"",IF(ABS('Fin Statement'!J74)&lt;0.1,"",('Fin Statement'!J98+'Fin Statement'!J99-SUM('Fin Statement'!J113,'Fin Statement'!J114,'Fin Statement'!J120))/'Fin Statement'!J74))</f>
        <v>0.28090006249207955</v>
      </c>
      <c r="K158" s="45">
        <f>IF(COUNT('Fin Statement'!K98,'Fin Statement'!K99,'Fin Statement'!K74)&lt;3,"",IF(ABS('Fin Statement'!K74)&lt;0.1,"",('Fin Statement'!K98+'Fin Statement'!K99-SUM('Fin Statement'!K113,'Fin Statement'!K114,'Fin Statement'!K120))/'Fin Statement'!K74))</f>
        <v>0.41192696345569507</v>
      </c>
      <c r="L158" s="45">
        <f>IF(COUNT('Fin Statement'!L98,'Fin Statement'!L99,'Fin Statement'!L74)&lt;3,"",IF(ABS('Fin Statement'!L74)&lt;0.1,"",('Fin Statement'!L98+'Fin Statement'!L99-SUM('Fin Statement'!L113,'Fin Statement'!L114,'Fin Statement'!L120))/'Fin Statement'!L74))</f>
        <v>0.57903094553073331</v>
      </c>
      <c r="M158" s="45">
        <f>IF(COUNT('Fin Statement'!M98,'Fin Statement'!M99,'Fin Statement'!M74)&lt;3,"",IF(ABS('Fin Statement'!M74)&lt;0.1,"",('Fin Statement'!M98+'Fin Statement'!M99-SUM('Fin Statement'!M113,'Fin Statement'!M114,'Fin Statement'!M120))/'Fin Statement'!M74))</f>
        <v>0.76986443745017064</v>
      </c>
      <c r="N158" s="45">
        <f>IF(COUNT('Fin Statement'!N98,'Fin Statement'!N99,'Fin Statement'!N74)&lt;3,"",IF(ABS('Fin Statement'!N74)&lt;0.1,"",('Fin Statement'!N98+'Fin Statement'!N99-SUM('Fin Statement'!N113,'Fin Statement'!N114,'Fin Statement'!N120))/'Fin Statement'!N74))</f>
        <v>0.97500507317064622</v>
      </c>
    </row>
    <row r="159" spans="2:14" x14ac:dyDescent="0.35">
      <c r="B159" s="135" t="s">
        <v>814</v>
      </c>
      <c r="C159" s="130"/>
      <c r="D159" s="146"/>
      <c r="E159" s="45">
        <f>IF(COUNT('Fin Statement'!E98,'Fin Statement'!E99,'Fin Statement'!E74,'Fin Statement'!E82)&lt;4,"",IF(ABS('Fin Statement'!E74+'Fin Statement'!E82)&lt;0.1,"",('Fin Statement'!E98+'Fin Statement'!E99-SUM('Fin Statement'!E113,'Fin Statement'!E114,'Fin Statement'!E120))/('Fin Statement'!E74+'Fin Statement'!E82)))</f>
        <v>0.84385025096317667</v>
      </c>
      <c r="F159" s="45">
        <f>IF(COUNT('Fin Statement'!F98,'Fin Statement'!F99,'Fin Statement'!F74,'Fin Statement'!F82)&lt;4,"",IF(ABS('Fin Statement'!F74+'Fin Statement'!F82)&lt;0.1,"",('Fin Statement'!F98+'Fin Statement'!F99-SUM('Fin Statement'!F113,'Fin Statement'!F114,'Fin Statement'!F120))/('Fin Statement'!F74+'Fin Statement'!F82)))</f>
        <v>1.0765027322404372</v>
      </c>
      <c r="G159" s="45">
        <f>IF(COUNT('Fin Statement'!G98,'Fin Statement'!G99,'Fin Statement'!G74,'Fin Statement'!G82)&lt;4,"",IF(ABS('Fin Statement'!G74+'Fin Statement'!G82)&lt;0.1,"",('Fin Statement'!G98+'Fin Statement'!G99-SUM('Fin Statement'!G113,'Fin Statement'!G114,'Fin Statement'!G120))/('Fin Statement'!G74+'Fin Statement'!G82)))</f>
        <v>0.32283889781425928</v>
      </c>
      <c r="H159" s="45">
        <f>IF(COUNT('Fin Statement'!H98,'Fin Statement'!H99,'Fin Statement'!H74,'Fin Statement'!H82)&lt;4,"",IF(ABS('Fin Statement'!H74+'Fin Statement'!H82)&lt;0.1,"",('Fin Statement'!H98+'Fin Statement'!H99-SUM('Fin Statement'!H113,'Fin Statement'!H114,'Fin Statement'!H120))/('Fin Statement'!H74+'Fin Statement'!H82)))</f>
        <v>0.71796232422393202</v>
      </c>
      <c r="I159" s="45">
        <f>IF(COUNT('Fin Statement'!I98,'Fin Statement'!I99,'Fin Statement'!I74,'Fin Statement'!I82)&lt;4,"",IF(ABS('Fin Statement'!I74+'Fin Statement'!I82)&lt;0.1,"",('Fin Statement'!I98+'Fin Statement'!I99-SUM('Fin Statement'!I113,'Fin Statement'!I114,'Fin Statement'!I120))/('Fin Statement'!I74+'Fin Statement'!I82)))</f>
        <v>0.54561332795915629</v>
      </c>
      <c r="J159" s="45">
        <f>IF(COUNT('Fin Statement'!J98,'Fin Statement'!J99,'Fin Statement'!J74,'Fin Statement'!J82)&lt;4,"",IF(ABS('Fin Statement'!J74+'Fin Statement'!J82)&lt;0.1,"",('Fin Statement'!J98+'Fin Statement'!J99-SUM('Fin Statement'!J113,'Fin Statement'!J114,'Fin Statement'!J120))/('Fin Statement'!J74+'Fin Statement'!J82)))</f>
        <v>0.75966483523532358</v>
      </c>
      <c r="K159" s="45">
        <f>IF(COUNT('Fin Statement'!K98,'Fin Statement'!K99,'Fin Statement'!K74,'Fin Statement'!K82)&lt;4,"",IF(ABS('Fin Statement'!K74+'Fin Statement'!K82)&lt;0.1,"",('Fin Statement'!K98+'Fin Statement'!K99-SUM('Fin Statement'!K113,'Fin Statement'!K114,'Fin Statement'!K120))/('Fin Statement'!K74+'Fin Statement'!K82)))</f>
        <v>0.98101009273335416</v>
      </c>
      <c r="L159" s="45">
        <f>IF(COUNT('Fin Statement'!L98,'Fin Statement'!L99,'Fin Statement'!L74,'Fin Statement'!L82)&lt;4,"",IF(ABS('Fin Statement'!L74+'Fin Statement'!L82)&lt;0.1,"",('Fin Statement'!L98+'Fin Statement'!L99-SUM('Fin Statement'!L113,'Fin Statement'!L114,'Fin Statement'!L120))/('Fin Statement'!L74+'Fin Statement'!L82)))</f>
        <v>1.24800099930731</v>
      </c>
      <c r="M159" s="45">
        <f>IF(COUNT('Fin Statement'!M98,'Fin Statement'!M99,'Fin Statement'!M74,'Fin Statement'!M82)&lt;4,"",IF(ABS('Fin Statement'!M74+'Fin Statement'!M82)&lt;0.1,"",('Fin Statement'!M98+'Fin Statement'!M99-SUM('Fin Statement'!M113,'Fin Statement'!M114,'Fin Statement'!M120))/('Fin Statement'!M74+'Fin Statement'!M82)))</f>
        <v>1.5513596629069495</v>
      </c>
      <c r="N159" s="45">
        <f>IF(COUNT('Fin Statement'!N98,'Fin Statement'!N99,'Fin Statement'!N74,'Fin Statement'!N82)&lt;4,"",IF(ABS('Fin Statement'!N74+'Fin Statement'!N82)&lt;0.1,"",('Fin Statement'!N98+'Fin Statement'!N99-SUM('Fin Statement'!N113,'Fin Statement'!N114,'Fin Statement'!N120))/('Fin Statement'!N74+'Fin Statement'!N82)))</f>
        <v>1.8478968819724986</v>
      </c>
    </row>
    <row r="160" spans="2:14" x14ac:dyDescent="0.35">
      <c r="B160" s="135" t="s">
        <v>815</v>
      </c>
      <c r="C160" s="130"/>
      <c r="D160" s="146"/>
      <c r="E160" s="319">
        <f>IF(COUNT('Fin Statement'!E98,'Fin Statement'!E99)&lt;2,"",'Fin Statement'!E98+'Fin Statement'!E99-SUM('Fin Statement'!E113,'Fin Statement'!E114,'Fin Statement'!E120))</f>
        <v>54976</v>
      </c>
      <c r="F160" s="319">
        <f>IF(COUNT('Fin Statement'!F98,'Fin Statement'!F99)&lt;2,"",'Fin Statement'!F98+'Fin Statement'!F99-SUM('Fin Statement'!F113,'Fin Statement'!F114,'Fin Statement'!F120))</f>
        <v>64025</v>
      </c>
      <c r="G160" s="319">
        <f>IF(COUNT('Fin Statement'!G98,'Fin Statement'!G99)&lt;2,"",'Fin Statement'!G98+'Fin Statement'!G99-SUM('Fin Statement'!G113,'Fin Statement'!G114,'Fin Statement'!G120))</f>
        <v>23913</v>
      </c>
      <c r="H160" s="319">
        <f>IF(COUNT('Fin Statement'!H98,'Fin Statement'!H99)&lt;2,"",'Fin Statement'!H98+'Fin Statement'!H99-SUM('Fin Statement'!H113,'Fin Statement'!H114,'Fin Statement'!H120))</f>
        <v>51414</v>
      </c>
      <c r="I160" s="319">
        <f>IF(COUNT('Fin Statement'!I98,'Fin Statement'!I99)&lt;2,"",'Fin Statement'!I98+'Fin Statement'!I99-SUM('Fin Statement'!I113,'Fin Statement'!I114,'Fin Statement'!I120))</f>
        <v>36549</v>
      </c>
      <c r="J160" s="319">
        <f>IF(COUNT('Fin Statement'!J98,'Fin Statement'!J99)&lt;2,"",'Fin Statement'!J98+'Fin Statement'!J99-SUM('Fin Statement'!J113,'Fin Statement'!J114,'Fin Statement'!J120))</f>
        <v>62399.298481199396</v>
      </c>
      <c r="K160" s="319">
        <f>IF(COUNT('Fin Statement'!K98,'Fin Statement'!K99)&lt;2,"",'Fin Statement'!K98+'Fin Statement'!K99-SUM('Fin Statement'!K113,'Fin Statement'!K114,'Fin Statement'!K120))</f>
        <v>110065.11283414043</v>
      </c>
      <c r="L160" s="319">
        <f>IF(COUNT('Fin Statement'!L98,'Fin Statement'!L99)&lt;2,"",'Fin Statement'!L98+'Fin Statement'!L99-SUM('Fin Statement'!L113,'Fin Statement'!L114,'Fin Statement'!L120))</f>
        <v>183636.47681590344</v>
      </c>
      <c r="M160" s="319">
        <f>IF(COUNT('Fin Statement'!M98,'Fin Statement'!M99)&lt;2,"",'Fin Statement'!M98+'Fin Statement'!M99-SUM('Fin Statement'!M113,'Fin Statement'!M114,'Fin Statement'!M120))</f>
        <v>282730.1691980302</v>
      </c>
      <c r="N160" s="319">
        <f>IF(COUNT('Fin Statement'!N98,'Fin Statement'!N99)&lt;2,"",'Fin Statement'!N98+'Fin Statement'!N99-SUM('Fin Statement'!N113,'Fin Statement'!N114,'Fin Statement'!N120))</f>
        <v>412813.77977242431</v>
      </c>
    </row>
    <row r="161" spans="2:14" x14ac:dyDescent="0.35">
      <c r="B161" s="128" t="s">
        <v>139</v>
      </c>
      <c r="C161" s="130"/>
      <c r="D161" s="130"/>
      <c r="E161" s="136"/>
      <c r="F161" s="136"/>
      <c r="G161" s="136"/>
      <c r="H161" s="136"/>
      <c r="I161" s="136"/>
      <c r="J161" s="136"/>
      <c r="K161" s="136"/>
      <c r="L161" s="136"/>
      <c r="M161" s="136"/>
      <c r="N161" s="136"/>
    </row>
    <row r="162" spans="2:14" x14ac:dyDescent="0.35">
      <c r="B162" s="135" t="s">
        <v>140</v>
      </c>
      <c r="C162" s="130"/>
      <c r="D162" s="130"/>
      <c r="E162" s="22" t="str">
        <f>""</f>
        <v/>
      </c>
      <c r="F162" s="45">
        <f>IF(OR('Fin Statement'!F9="",'Fin Statement'!E109="",'Fin Statement'!F109=""),"",'Fin Statement'!F9/AVERAGE('Fin Statement'!E109,'Fin Statement'!F109))</f>
        <v>0.54559895779695577</v>
      </c>
      <c r="G162" s="45">
        <f>IF(OR('Fin Statement'!G9="",'Fin Statement'!F109="",'Fin Statement'!G109=""),"",'Fin Statement'!G9/AVERAGE('Fin Statement'!F109,'Fin Statement'!G109))</f>
        <v>0.53048729682439544</v>
      </c>
      <c r="H162" s="45">
        <f>IF(OR('Fin Statement'!H9="",'Fin Statement'!G109="",'Fin Statement'!H109=""),"",'Fin Statement'!H9/AVERAGE('Fin Statement'!G109,'Fin Statement'!H109))</f>
        <v>0.49811256703260176</v>
      </c>
      <c r="I162" s="46">
        <f>IF(OR('Fin Statement'!I9="",'Fin Statement'!H109="",'Fin Statement'!I109=""),"",'Fin Statement'!I9/AVERAGE('Fin Statement'!H109,'Fin Statement'!I109))</f>
        <v>0.48184123614488095</v>
      </c>
      <c r="J162" s="45">
        <f>IF(OR('Fin Statement'!J9="",'Fin Statement'!I109="",'Fin Statement'!J109=""),"",'Fin Statement'!J9/AVERAGE('Fin Statement'!I109,'Fin Statement'!J109))</f>
        <v>0.46889068531539968</v>
      </c>
      <c r="K162" s="45">
        <f>IF(OR('Fin Statement'!K9="",'Fin Statement'!J109="",'Fin Statement'!K109=""),"",'Fin Statement'!K9/AVERAGE('Fin Statement'!J109,'Fin Statement'!K109))</f>
        <v>0.46474155153246111</v>
      </c>
      <c r="L162" s="45">
        <f>IF(OR('Fin Statement'!L9="",'Fin Statement'!K109="",'Fin Statement'!L109=""),"",'Fin Statement'!L9/AVERAGE('Fin Statement'!K109,'Fin Statement'!L109))</f>
        <v>0.45692170411180849</v>
      </c>
      <c r="M162" s="45">
        <f>IF(OR('Fin Statement'!M9="",'Fin Statement'!L109="",'Fin Statement'!M109=""),"",'Fin Statement'!M9/AVERAGE('Fin Statement'!L109,'Fin Statement'!M109))</f>
        <v>0.44639170805230799</v>
      </c>
      <c r="N162" s="45">
        <f>IF(OR('Fin Statement'!N9="",'Fin Statement'!M109="",'Fin Statement'!N109=""),"",'Fin Statement'!N9/AVERAGE('Fin Statement'!M109,'Fin Statement'!N109))</f>
        <v>0.43231460605711647</v>
      </c>
    </row>
    <row r="163" spans="2:14" x14ac:dyDescent="0.35">
      <c r="B163" s="135" t="s">
        <v>141</v>
      </c>
      <c r="C163" s="130"/>
      <c r="D163" s="130"/>
      <c r="E163" s="22" t="str">
        <f>""</f>
        <v/>
      </c>
      <c r="F163" s="45">
        <f>IF(OR('Fin Statement'!F9="",'Fin Statement'!E100="",'Fin Statement'!F100=""),"",'Fin Statement'!F9/AVERAGE('Fin Statement'!E100,'Fin Statement'!F100))</f>
        <v>4.5598123702245319</v>
      </c>
      <c r="G163" s="45">
        <f>IF(OR('Fin Statement'!G9="",'Fin Statement'!F100="",'Fin Statement'!G100=""),"",'Fin Statement'!G9/AVERAGE('Fin Statement'!F100,'Fin Statement'!G100))</f>
        <v>4.6419346286406844</v>
      </c>
      <c r="H163" s="45">
        <f>IF(OR('Fin Statement'!H9="",'Fin Statement'!G100="",'Fin Statement'!H100=""),"",'Fin Statement'!H9/AVERAGE('Fin Statement'!G100,'Fin Statement'!H100))</f>
        <v>4.4425801669965068</v>
      </c>
      <c r="I163" s="46">
        <f>IF(OR('Fin Statement'!I9="",'Fin Statement'!H100="",'Fin Statement'!I100=""),"",'Fin Statement'!I9/AVERAGE('Fin Statement'!H100,'Fin Statement'!I100))</f>
        <v>4.4016023239002262</v>
      </c>
      <c r="J163" s="45">
        <f>IF(OR('Fin Statement'!J9="",'Fin Statement'!I100="",'Fin Statement'!J100=""),"",'Fin Statement'!J9/AVERAGE('Fin Statement'!I100,'Fin Statement'!J100))</f>
        <v>4.432677801253158</v>
      </c>
      <c r="K163" s="45">
        <f>IF(OR('Fin Statement'!K9="",'Fin Statement'!J100="",'Fin Statement'!K100=""),"",'Fin Statement'!K9/AVERAGE('Fin Statement'!J100,'Fin Statement'!K100))</f>
        <v>4.4399753972827414</v>
      </c>
      <c r="L163" s="45">
        <f>IF(OR('Fin Statement'!L9="",'Fin Statement'!K100="",'Fin Statement'!L100=""),"",'Fin Statement'!L9/AVERAGE('Fin Statement'!K100,'Fin Statement'!L100))</f>
        <v>4.4416138744521607</v>
      </c>
      <c r="M163" s="45">
        <f>IF(OR('Fin Statement'!M9="",'Fin Statement'!L100="",'Fin Statement'!M100=""),"",'Fin Statement'!M9/AVERAGE('Fin Statement'!L100,'Fin Statement'!M100))</f>
        <v>4.4412026118072641</v>
      </c>
      <c r="N163" s="45">
        <f>IF(OR('Fin Statement'!N9="",'Fin Statement'!M100="",'Fin Statement'!N100=""),"",'Fin Statement'!N9/AVERAGE('Fin Statement'!M100,'Fin Statement'!N100))</f>
        <v>4.4378381157895257</v>
      </c>
    </row>
    <row r="164" spans="2:14" x14ac:dyDescent="0.35">
      <c r="B164" s="135" t="s">
        <v>142</v>
      </c>
      <c r="C164" s="130"/>
      <c r="D164" s="130"/>
      <c r="E164" s="138" t="str">
        <f>""</f>
        <v/>
      </c>
      <c r="F164" s="319">
        <f>IF(OR('Fin Statement'!F9="",'Fin Statement'!E100="",'Fin Statement'!F100=""),"",AVERAGE('Fin Statement'!E100,'Fin Statement'!F100)/'Fin Statement'!F9*365)</f>
        <v>80.047153339782454</v>
      </c>
      <c r="G164" s="319">
        <f>IF(OR('Fin Statement'!G9="",'Fin Statement'!F100="",'Fin Statement'!G100=""),"",AVERAGE('Fin Statement'!F100,'Fin Statement'!G100)/'Fin Statement'!G9*365)</f>
        <v>78.631008232635182</v>
      </c>
      <c r="H164" s="319">
        <f>IF(OR('Fin Statement'!H9="",'Fin Statement'!G100="",'Fin Statement'!H100=""),"",AVERAGE('Fin Statement'!G100,'Fin Statement'!H100)/'Fin Statement'!H9*365)</f>
        <v>82.159462807570534</v>
      </c>
      <c r="I164" s="320">
        <f>IF(OR('Fin Statement'!I9="",'Fin Statement'!H100="",'Fin Statement'!I100=""),"",AVERAGE('Fin Statement'!H100,'Fin Statement'!I100)/'Fin Statement'!I9*365)</f>
        <v>82.924347349166311</v>
      </c>
      <c r="J164" s="319">
        <f>IF(OR('Fin Statement'!J9="",'Fin Statement'!I100="",'Fin Statement'!J100=""),"",AVERAGE('Fin Statement'!I100,'Fin Statement'!J100)/'Fin Statement'!J9*365)</f>
        <v>82.343002664622091</v>
      </c>
      <c r="K164" s="319">
        <f>IF(OR('Fin Statement'!K9="",'Fin Statement'!J100="",'Fin Statement'!K100=""),"",AVERAGE('Fin Statement'!J100,'Fin Statement'!K100)/'Fin Statement'!K9*365)</f>
        <v>82.207662732406007</v>
      </c>
      <c r="L164" s="319">
        <f>IF(OR('Fin Statement'!L9="",'Fin Statement'!K100="",'Fin Statement'!L100=""),"",AVERAGE('Fin Statement'!K100,'Fin Statement'!L100)/'Fin Statement'!L9*365)</f>
        <v>82.177336958409057</v>
      </c>
      <c r="M164" s="319">
        <f>IF(OR('Fin Statement'!M9="",'Fin Statement'!L100="",'Fin Statement'!M100=""),"",AVERAGE('Fin Statement'!L100,'Fin Statement'!M100)/'Fin Statement'!M9*365)</f>
        <v>82.184946714572462</v>
      </c>
      <c r="N164" s="319">
        <f>IF(OR('Fin Statement'!N9="",'Fin Statement'!M100="",'Fin Statement'!N100=""),"",AVERAGE('Fin Statement'!M100,'Fin Statement'!N100)/'Fin Statement'!N9*365)</f>
        <v>82.247254288378585</v>
      </c>
    </row>
    <row r="165" spans="2:14" x14ac:dyDescent="0.35">
      <c r="B165" s="135"/>
      <c r="C165" s="130"/>
      <c r="D165" s="130"/>
      <c r="E165" s="136"/>
      <c r="F165" s="136"/>
      <c r="G165" s="136"/>
      <c r="H165" s="136"/>
      <c r="I165" s="136"/>
      <c r="J165" s="136"/>
      <c r="K165" s="136"/>
      <c r="L165" s="136"/>
      <c r="M165" s="136"/>
      <c r="N165" s="136"/>
    </row>
    <row r="166" spans="2:14" x14ac:dyDescent="0.35">
      <c r="B166" s="128" t="s">
        <v>143</v>
      </c>
      <c r="C166" s="130"/>
      <c r="D166" s="130"/>
      <c r="E166" s="136"/>
      <c r="F166" s="136"/>
      <c r="G166" s="136"/>
      <c r="H166" s="136"/>
      <c r="I166" s="136"/>
      <c r="J166" s="136"/>
      <c r="K166" s="136"/>
      <c r="L166" s="136"/>
      <c r="M166" s="136"/>
      <c r="N166" s="136"/>
    </row>
    <row r="167" spans="2:14" x14ac:dyDescent="0.35">
      <c r="B167" s="135" t="s">
        <v>144</v>
      </c>
      <c r="C167" s="130"/>
      <c r="D167" s="146"/>
      <c r="E167" s="315">
        <f>IFERROR('Fin Statement'!E74/'Fin Statement'!E9,"")</f>
        <v>0.44905936349422504</v>
      </c>
      <c r="F167" s="315">
        <f>IFERROR('Fin Statement'!F74/'Fin Statement'!F9,"")</f>
        <v>0.4132883467427978</v>
      </c>
      <c r="G167" s="315">
        <f>IFERROR('Fin Statement'!G74/'Fin Statement'!G9,"")</f>
        <v>0.48362856047192826</v>
      </c>
      <c r="H167" s="315">
        <f>IFERROR('Fin Statement'!H74/'Fin Statement'!H9,"")</f>
        <v>0.48331700529596344</v>
      </c>
      <c r="I167" s="316">
        <f>IFERROR('Fin Statement'!I74/'Fin Statement'!I9,"")</f>
        <v>0.55127637197556645</v>
      </c>
      <c r="J167" s="315">
        <f>IFERROR('Fin Statement'!J74/'Fin Statement'!J9,"")</f>
        <v>0.56954878183121804</v>
      </c>
      <c r="K167" s="315">
        <f>IFERROR('Fin Statement'!K74/'Fin Statement'!K9,"")</f>
        <v>0.5804998630721786</v>
      </c>
      <c r="L167" s="315">
        <f>IFERROR('Fin Statement'!L74/'Fin Statement'!L9,"")</f>
        <v>0.59111973164998977</v>
      </c>
      <c r="M167" s="315">
        <f>IFERROR('Fin Statement'!M74/'Fin Statement'!M9,"")</f>
        <v>0.59403999526993856</v>
      </c>
      <c r="N167" s="315">
        <f>IFERROR('Fin Statement'!N74/'Fin Statement'!N9,"")</f>
        <v>0.6031055959856555</v>
      </c>
    </row>
    <row r="168" spans="2:14" x14ac:dyDescent="0.35">
      <c r="B168" s="135" t="s">
        <v>860</v>
      </c>
      <c r="C168" s="130"/>
      <c r="D168" s="146"/>
      <c r="E168" s="319">
        <f>IF('Fin Statement'!E74="","",'Fin Statement'!E74+'Fin Statement'!E82)</f>
        <v>65149</v>
      </c>
      <c r="F168" s="319">
        <f>IF('Fin Statement'!F74="","",'Fin Statement'!F74+'Fin Statement'!F82)</f>
        <v>59475</v>
      </c>
      <c r="G168" s="319">
        <f>IF('Fin Statement'!G74="","",'Fin Statement'!G74+'Fin Statement'!G82)</f>
        <v>74071</v>
      </c>
      <c r="H168" s="319">
        <f>IF('Fin Statement'!H74="","",'Fin Statement'!H74+'Fin Statement'!H82)</f>
        <v>71611</v>
      </c>
      <c r="I168" s="320">
        <f>IF('Fin Statement'!I74="","",'Fin Statement'!I74+'Fin Statement'!I82)</f>
        <v>66987</v>
      </c>
      <c r="J168" s="319">
        <f>IF('Fin Statement'!J74="","",'Fin Statement'!J74+'Fin Statement'!J82)</f>
        <v>82140.564610799425</v>
      </c>
      <c r="K168" s="319">
        <f>IF('Fin Statement'!K74="","",'Fin Statement'!K74+'Fin Statement'!K82)</f>
        <v>112195.69874910242</v>
      </c>
      <c r="L168" s="319">
        <f>IF('Fin Statement'!L74="","",'Fin Statement'!L74+'Fin Statement'!L82)</f>
        <v>147144.49501068424</v>
      </c>
      <c r="M168" s="319">
        <f>IF('Fin Statement'!M74="","",'Fin Statement'!M74+'Fin Statement'!M82)</f>
        <v>182246.69363147439</v>
      </c>
      <c r="N168" s="319">
        <f>IF('Fin Statement'!N74="","",'Fin Statement'!N74+'Fin Statement'!N82)</f>
        <v>223396.54544563923</v>
      </c>
    </row>
    <row r="169" spans="2:14" x14ac:dyDescent="0.35">
      <c r="B169" s="135" t="s">
        <v>861</v>
      </c>
      <c r="C169" s="130"/>
      <c r="D169" s="146"/>
      <c r="E169" s="315">
        <f>IFERROR(('Fin Statement'!E74+'Fin Statement'!E82)/'Fin Statement'!E9,"")</f>
        <v>0.32858727997175569</v>
      </c>
      <c r="F169" s="315">
        <f>IFERROR(('Fin Statement'!F74+'Fin Statement'!F82)/'Fin Statement'!F9,"")</f>
        <v>0.28065497959087371</v>
      </c>
      <c r="G169" s="315">
        <f>IFERROR(('Fin Statement'!G74+'Fin Statement'!G82)/'Fin Statement'!G9,"")</f>
        <v>0.30218013886962408</v>
      </c>
      <c r="H169" s="315">
        <f>IFERROR(('Fin Statement'!H74+'Fin Statement'!H82)/'Fin Statement'!H9,"")</f>
        <v>0.25418849654271558</v>
      </c>
      <c r="I169" s="316">
        <f>IFERROR(('Fin Statement'!I74+'Fin Statement'!I82)/'Fin Statement'!I9,"")</f>
        <v>0.20186596512164032</v>
      </c>
      <c r="J169" s="315">
        <f>IFERROR(('Fin Statement'!J74+'Fin Statement'!J82)/'Fin Statement'!J9,"")</f>
        <v>0.21060115064970397</v>
      </c>
      <c r="K169" s="315">
        <f>IFERROR(('Fin Statement'!K74+'Fin Statement'!K82)/'Fin Statement'!K9,"")</f>
        <v>0.2437523809928476</v>
      </c>
      <c r="L169" s="315">
        <f>IFERROR(('Fin Statement'!L74+'Fin Statement'!L82)/'Fin Statement'!L9,"")</f>
        <v>0.27425989027985076</v>
      </c>
      <c r="M169" s="315">
        <f>IFERROR(('Fin Statement'!M74+'Fin Statement'!M82)/'Fin Statement'!M9,"")</f>
        <v>0.29479319187946679</v>
      </c>
      <c r="N169" s="315">
        <f>IFERROR(('Fin Statement'!N74+'Fin Statement'!N82)/'Fin Statement'!N9,"")</f>
        <v>0.31821635800150216</v>
      </c>
    </row>
    <row r="170" spans="2:14" x14ac:dyDescent="0.35">
      <c r="B170" s="135" t="s">
        <v>146</v>
      </c>
      <c r="C170" s="130"/>
      <c r="D170" s="146"/>
      <c r="E170" s="45">
        <f>IFERROR('Fin Statement'!E74/'Fin Statement'!E29,"")</f>
        <v>1.224050702521378</v>
      </c>
      <c r="F170" s="45">
        <f>IFERROR('Fin Statement'!F74/'Fin Statement'!F29,"")</f>
        <v>1.2103481156976825</v>
      </c>
      <c r="G170" s="45">
        <f>IFERROR('Fin Statement'!G74/'Fin Statement'!G29,"")</f>
        <v>1.3450576381955159</v>
      </c>
      <c r="H170" s="45">
        <f>IFERROR('Fin Statement'!H74/'Fin Statement'!H29,"")</f>
        <v>1.3371238903291696</v>
      </c>
      <c r="I170" s="46">
        <f>IFERROR('Fin Statement'!I74/'Fin Statement'!I29,"")</f>
        <v>1.3677485439143471</v>
      </c>
      <c r="J170" s="45">
        <f>IFERROR('Fin Statement'!J74/'Fin Statement'!J29,"")</f>
        <v>1.5556592413391981</v>
      </c>
      <c r="K170" s="45">
        <f>IFERROR('Fin Statement'!K74/'Fin Statement'!K29,"")</f>
        <v>1.5712682998361123</v>
      </c>
      <c r="L170" s="45">
        <f>IFERROR('Fin Statement'!L74/'Fin Statement'!L29,"")</f>
        <v>1.5727233572332706</v>
      </c>
      <c r="M170" s="45">
        <f>IFERROR('Fin Statement'!M74/'Fin Statement'!M29,"")</f>
        <v>1.5545553171536564</v>
      </c>
      <c r="N170" s="45">
        <f>IFERROR('Fin Statement'!N74/'Fin Statement'!N29,"")</f>
        <v>1.5452367622899985</v>
      </c>
    </row>
    <row r="171" spans="2:14" x14ac:dyDescent="0.35">
      <c r="B171" s="135" t="s">
        <v>522</v>
      </c>
      <c r="C171" s="130"/>
      <c r="D171" s="146"/>
      <c r="E171" s="315">
        <f>IFERROR(ABS('Fin Statement'!E82)/'Fin Statement'!E9,"")</f>
        <v>0.12047208352246935</v>
      </c>
      <c r="F171" s="315">
        <f>IFERROR(ABS('Fin Statement'!F82)/'Fin Statement'!F9,"")</f>
        <v>0.13263336715192411</v>
      </c>
      <c r="G171" s="315">
        <f>IFERROR(ABS('Fin Statement'!G82)/'Fin Statement'!G9,"")</f>
        <v>0.18144842160230415</v>
      </c>
      <c r="H171" s="315">
        <f>IFERROR(ABS('Fin Statement'!H82)/'Fin Statement'!H9,"")</f>
        <v>0.22912850875324786</v>
      </c>
      <c r="I171" s="316">
        <f>IFERROR(ABS('Fin Statement'!I82)/'Fin Statement'!I9,"")</f>
        <v>0.34941040685392616</v>
      </c>
      <c r="J171" s="315">
        <f>IFERROR(ABS('Fin Statement'!J82)/'Fin Statement'!J9,"")</f>
        <v>0.35894763118151402</v>
      </c>
      <c r="K171" s="315">
        <f>IFERROR(ABS('Fin Statement'!K82)/'Fin Statement'!K9,"")</f>
        <v>0.33674748207933092</v>
      </c>
      <c r="L171" s="315">
        <f>IFERROR(ABS('Fin Statement'!L82)/'Fin Statement'!L9,"")</f>
        <v>0.31685984137013906</v>
      </c>
      <c r="M171" s="315">
        <f>IFERROR(ABS('Fin Statement'!M82)/'Fin Statement'!M9,"")</f>
        <v>0.29924680339047177</v>
      </c>
      <c r="N171" s="315">
        <f>IFERROR(ABS('Fin Statement'!N82)/'Fin Statement'!N9,"")</f>
        <v>0.28488923798415328</v>
      </c>
    </row>
    <row r="172" spans="2:14" x14ac:dyDescent="0.35">
      <c r="B172" s="135" t="s">
        <v>148</v>
      </c>
      <c r="C172" s="130"/>
      <c r="D172" s="146"/>
      <c r="E172" s="45">
        <f>IFERROR(ABS('Fin Statement'!E82)/'Fin Statement'!E57,"")</f>
        <v>1.6518672199170124</v>
      </c>
      <c r="F172" s="45">
        <f>IFERROR(ABS('Fin Statement'!F82)/'Fin Statement'!F57,"")</f>
        <v>2.0277757737536972</v>
      </c>
      <c r="G172" s="45">
        <f>IFERROR(ABS('Fin Statement'!G82)/'Fin Statement'!G57,"")</f>
        <v>2.1221967745013837</v>
      </c>
      <c r="H172" s="45">
        <f>IFERROR(ABS('Fin Statement'!H82)/'Fin Statement'!H57,"")</f>
        <v>2.1931505453062887</v>
      </c>
      <c r="I172" s="46">
        <f>IFERROR(ABS('Fin Statement'!I82)/'Fin Statement'!I57,"")</f>
        <v>3.0089790834068615</v>
      </c>
      <c r="J172" s="45">
        <f>IFERROR(ABS('Fin Statement'!J82)/'Fin Statement'!J57,"")</f>
        <v>2.606742376395724</v>
      </c>
      <c r="K172" s="45">
        <f>IFERROR(ABS('Fin Statement'!K82)/'Fin Statement'!K57,"")</f>
        <v>2.3018498722939631</v>
      </c>
      <c r="L172" s="45">
        <f>IFERROR(ABS('Fin Statement'!L82)/'Fin Statement'!L57,"")</f>
        <v>2.0798094664800288</v>
      </c>
      <c r="M172" s="45">
        <f>IFERROR(ABS('Fin Statement'!M82)/'Fin Statement'!M57,"")</f>
        <v>1.9288881838674559</v>
      </c>
      <c r="N172" s="45">
        <f>IFERROR(ABS('Fin Statement'!N82)/'Fin Statement'!N57,"")</f>
        <v>1.808368937994171</v>
      </c>
    </row>
    <row r="173" spans="2:14" x14ac:dyDescent="0.35">
      <c r="B173" s="135" t="s">
        <v>149</v>
      </c>
      <c r="C173" s="130"/>
      <c r="D173" s="146"/>
      <c r="E173" s="315">
        <f>IFERROR(ABS('Fin Statement'!E82)/'Fin Statement'!E74,"")</f>
        <v>0.26827652046947831</v>
      </c>
      <c r="F173" s="315">
        <f>IFERROR(ABS('Fin Statement'!F82)/'Fin Statement'!F74,"")</f>
        <v>0.32092210728231829</v>
      </c>
      <c r="G173" s="315">
        <f>IFERROR(ABS('Fin Statement'!G82)/'Fin Statement'!G74,"")</f>
        <v>0.37518136113641731</v>
      </c>
      <c r="H173" s="315">
        <f>IFERROR(ABS('Fin Statement'!H82)/'Fin Statement'!H74,"")</f>
        <v>0.47407499889837107</v>
      </c>
      <c r="I173" s="316">
        <f>IFERROR(ABS('Fin Statement'!I82)/'Fin Statement'!I74,"")</f>
        <v>0.63382075600623167</v>
      </c>
      <c r="J173" s="315">
        <f>IFERROR(ABS('Fin Statement'!J82)/'Fin Statement'!J74,"")</f>
        <v>0.63023158442622351</v>
      </c>
      <c r="K173" s="315">
        <f>IFERROR(ABS('Fin Statement'!K82)/'Fin Statement'!K74,"")</f>
        <v>0.58009915850309202</v>
      </c>
      <c r="L173" s="315">
        <f>IFERROR(ABS('Fin Statement'!L82)/'Fin Statement'!L74,"")</f>
        <v>0.53603326772004312</v>
      </c>
      <c r="M173" s="315">
        <f>IFERROR(ABS('Fin Statement'!M82)/'Fin Statement'!M74,"")</f>
        <v>0.50374857883851842</v>
      </c>
      <c r="N173" s="315">
        <f>IFERROR(ABS('Fin Statement'!N82)/'Fin Statement'!N74,"")</f>
        <v>0.47237041055564877</v>
      </c>
    </row>
    <row r="174" spans="2:14" x14ac:dyDescent="0.35">
      <c r="B174" s="135" t="s">
        <v>150</v>
      </c>
      <c r="C174" s="130"/>
      <c r="D174" s="146"/>
      <c r="E174" s="315">
        <f>IFERROR('Fin Statement'!E57/'Fin Statement'!E9,"")</f>
        <v>7.2930851868663937E-2</v>
      </c>
      <c r="F174" s="315">
        <f>IFERROR('Fin Statement'!F57/'Fin Statement'!F9,"")</f>
        <v>6.5408300497841118E-2</v>
      </c>
      <c r="G174" s="315">
        <f>IFERROR('Fin Statement'!G57/'Fin Statement'!G9,"")</f>
        <v>8.5500281492481289E-2</v>
      </c>
      <c r="H174" s="315">
        <f>IFERROR('Fin Statement'!H57/'Fin Statement'!H9,"")</f>
        <v>0.10447459215402309</v>
      </c>
      <c r="I174" s="316">
        <f>IFERROR('Fin Statement'!I57/'Fin Statement'!I9,"")</f>
        <v>0.11612257751499974</v>
      </c>
      <c r="J174" s="315">
        <f>IFERROR('Fin Statement'!J57/'Fin Statement'!J9,"")</f>
        <v>0.13769969538678453</v>
      </c>
      <c r="K174" s="315">
        <f>IFERROR('Fin Statement'!K57/'Fin Statement'!K9,"")</f>
        <v>0.14629428536264064</v>
      </c>
      <c r="L174" s="315">
        <f>IFERROR('Fin Statement'!L57/'Fin Statement'!L9,"")</f>
        <v>0.1523504178997743</v>
      </c>
      <c r="M174" s="315">
        <f>IFERROR('Fin Statement'!M57/'Fin Statement'!M9,"")</f>
        <v>0.1551395285083226</v>
      </c>
      <c r="N174" s="315">
        <f>IFERROR('Fin Statement'!N57/'Fin Statement'!N9,"")</f>
        <v>0.15753933392604624</v>
      </c>
    </row>
    <row r="175" spans="2:14" x14ac:dyDescent="0.35">
      <c r="B175" s="135"/>
      <c r="C175" s="130"/>
      <c r="D175" s="130"/>
      <c r="E175" s="136"/>
      <c r="F175" s="136"/>
      <c r="G175" s="136"/>
      <c r="H175" s="136"/>
      <c r="I175" s="136"/>
      <c r="J175" s="136"/>
      <c r="K175" s="136"/>
      <c r="L175" s="136"/>
      <c r="M175" s="136"/>
      <c r="N175" s="136"/>
    </row>
    <row r="176" spans="2:14" x14ac:dyDescent="0.35">
      <c r="B176" s="128" t="s">
        <v>151</v>
      </c>
      <c r="C176" s="130"/>
      <c r="D176" s="130"/>
      <c r="E176" s="136"/>
      <c r="F176" s="136"/>
      <c r="G176" s="136"/>
      <c r="H176" s="136"/>
      <c r="I176" s="136"/>
      <c r="J176" s="136"/>
      <c r="K176" s="136"/>
      <c r="L176" s="136"/>
      <c r="M176" s="136"/>
      <c r="N176" s="136"/>
    </row>
    <row r="177" spans="2:14" x14ac:dyDescent="0.35">
      <c r="B177" s="135" t="s">
        <v>152</v>
      </c>
      <c r="C177" s="130"/>
      <c r="D177" s="146"/>
      <c r="E177" s="315">
        <f>IFERROR('Fin Statement'!E35/'Fin Statement'!E38,"")</f>
        <v>0.31958440510415093</v>
      </c>
      <c r="F177" s="315">
        <f>IFERROR('Fin Statement'!F35/'Fin Statement'!F38,"")</f>
        <v>0.44428662435410426</v>
      </c>
      <c r="G177" s="315">
        <f>IFERROR('Fin Statement'!G35/'Fin Statement'!G38,"")</f>
        <v>0.43578299785412977</v>
      </c>
      <c r="H177" s="315">
        <f>IFERROR('Fin Statement'!H35/'Fin Statement'!H38,"")</f>
        <v>0.42882395536056567</v>
      </c>
      <c r="I177" s="316">
        <f>IFERROR('Fin Statement'!I35/'Fin Statement'!I38,"")</f>
        <v>0.42187928483391041</v>
      </c>
      <c r="J177" s="315">
        <f>IFERROR('Fin Statement'!J35/'Fin Statement'!J38,"")</f>
        <v>0.40200986059909799</v>
      </c>
      <c r="K177" s="315">
        <f>IFERROR('Fin Statement'!K35/'Fin Statement'!K38,"")</f>
        <v>0.38152616870114653</v>
      </c>
      <c r="L177" s="315">
        <f>IFERROR('Fin Statement'!L35/'Fin Statement'!L38,"")</f>
        <v>0.36332303240583125</v>
      </c>
      <c r="M177" s="315">
        <f>IFERROR('Fin Statement'!M35/'Fin Statement'!M38,"")</f>
        <v>0.3468367658148388</v>
      </c>
      <c r="N177" s="315">
        <f>IFERROR('Fin Statement'!N35/'Fin Statement'!N38,"")</f>
        <v>0.33291999713929871</v>
      </c>
    </row>
    <row r="178" spans="2:14" x14ac:dyDescent="0.35">
      <c r="B178" s="135" t="s">
        <v>153</v>
      </c>
      <c r="C178" s="130"/>
      <c r="D178" s="146"/>
      <c r="E178" s="315">
        <f>IFERROR('Fin Statement'!E36/'Fin Statement'!E38,"")</f>
        <v>0.37809552630251675</v>
      </c>
      <c r="F178" s="315">
        <f>IFERROR('Fin Statement'!F36/'Fin Statement'!F38,"")</f>
        <v>0.34421348182054123</v>
      </c>
      <c r="G178" s="315">
        <f>IFERROR('Fin Statement'!G36/'Fin Statement'!G38,"")</f>
        <v>0.35681823744910696</v>
      </c>
      <c r="H178" s="315">
        <f>IFERROR('Fin Statement'!H36/'Fin Statement'!H38,"")</f>
        <v>0.37719541111158439</v>
      </c>
      <c r="I178" s="316">
        <f>IFERROR('Fin Statement'!I36/'Fin Statement'!I38,"")</f>
        <v>0.41523449624667386</v>
      </c>
      <c r="J178" s="315">
        <f>IFERROR('Fin Statement'!J36/'Fin Statement'!J38,"")</f>
        <v>0.46633481445381597</v>
      </c>
      <c r="K178" s="315">
        <f>IFERROR('Fin Statement'!K36/'Fin Statement'!K38,"")</f>
        <v>0.50579835408693574</v>
      </c>
      <c r="L178" s="315">
        <f>IFERROR('Fin Statement'!L36/'Fin Statement'!L38,"")</f>
        <v>0.53807735739915064</v>
      </c>
      <c r="M178" s="315">
        <f>IFERROR('Fin Statement'!M36/'Fin Statement'!M38,"")</f>
        <v>0.56502751856662459</v>
      </c>
      <c r="N178" s="315">
        <f>IFERROR('Fin Statement'!N36/'Fin Statement'!N38,"")</f>
        <v>0.58713755980369109</v>
      </c>
    </row>
    <row r="179" spans="2:14" x14ac:dyDescent="0.35">
      <c r="B179" s="135" t="s">
        <v>154</v>
      </c>
      <c r="C179" s="130"/>
      <c r="D179" s="146"/>
      <c r="E179" s="315">
        <f>IFERROR('Fin Statement'!E37/'Fin Statement'!E38,"")</f>
        <v>0.30232006859333233</v>
      </c>
      <c r="F179" s="315">
        <f>IFERROR('Fin Statement'!F37/'Fin Statement'!F38,"")</f>
        <v>0.2114998938253545</v>
      </c>
      <c r="G179" s="315">
        <f>IFERROR('Fin Statement'!G37/'Fin Statement'!G38,"")</f>
        <v>0.20739876469676324</v>
      </c>
      <c r="H179" s="315">
        <f>IFERROR('Fin Statement'!H37/'Fin Statement'!H38,"")</f>
        <v>0.19398063352784994</v>
      </c>
      <c r="I179" s="316">
        <f>IFERROR('Fin Statement'!I37/'Fin Statement'!I38,"")</f>
        <v>0.16288621891941574</v>
      </c>
      <c r="J179" s="315">
        <f>IFERROR('Fin Statement'!J37/'Fin Statement'!J38,"")</f>
        <v>0.13165532494708596</v>
      </c>
      <c r="K179" s="315">
        <f>IFERROR('Fin Statement'!K37/'Fin Statement'!K38,"")</f>
        <v>0.11267547721191766</v>
      </c>
      <c r="L179" s="315">
        <f>IFERROR('Fin Statement'!L37/'Fin Statement'!L38,"")</f>
        <v>9.8599610195017992E-2</v>
      </c>
      <c r="M179" s="315">
        <f>IFERROR('Fin Statement'!M37/'Fin Statement'!M38,"")</f>
        <v>8.8135715618536573E-2</v>
      </c>
      <c r="N179" s="315">
        <f>IFERROR('Fin Statement'!N37/'Fin Statement'!N38,"")</f>
        <v>7.9942443057010135E-2</v>
      </c>
    </row>
    <row r="180" spans="2:14" x14ac:dyDescent="0.35">
      <c r="B180" s="135" t="s">
        <v>155</v>
      </c>
      <c r="C180" s="130"/>
      <c r="D180" s="146"/>
      <c r="E180" s="315">
        <f>IFERROR('Fin Statement'!E41/'Fin Statement'!E35,"")</f>
        <v>0.46856259074553375</v>
      </c>
      <c r="F180" s="315">
        <f>IFERROR('Fin Statement'!F41/'Fin Statement'!F35,"")</f>
        <v>0.53184777644422254</v>
      </c>
      <c r="G180" s="315">
        <f>IFERROR('Fin Statement'!G41/'Fin Statement'!G35,"")</f>
        <v>0.55851900393184795</v>
      </c>
      <c r="H180" s="315">
        <f>IFERROR('Fin Statement'!H41/'Fin Statement'!H35,"")</f>
        <v>0.57754324973098259</v>
      </c>
      <c r="I180" s="316">
        <f>IFERROR('Fin Statement'!I41/'Fin Statement'!I35,"")</f>
        <v>0.59915283293808397</v>
      </c>
      <c r="J180" s="315">
        <f>IFERROR('Fin Statement'!J41/'Fin Statement'!J35,"")</f>
        <v>0.59311999892170464</v>
      </c>
      <c r="K180" s="315">
        <f>IFERROR('Fin Statement'!K41/'Fin Statement'!K35,"")</f>
        <v>0.59695970879768934</v>
      </c>
      <c r="L180" s="315">
        <f>IFERROR('Fin Statement'!L41/'Fin Statement'!L35,"")</f>
        <v>0.60505497291922539</v>
      </c>
      <c r="M180" s="315">
        <f>IFERROR('Fin Statement'!M41/'Fin Statement'!M35,"")</f>
        <v>0.61218824889268808</v>
      </c>
      <c r="N180" s="315">
        <f>IFERROR('Fin Statement'!N41/'Fin Statement'!N35,"")</f>
        <v>0.62176303052816462</v>
      </c>
    </row>
    <row r="181" spans="2:14" x14ac:dyDescent="0.35">
      <c r="B181" s="135" t="s">
        <v>156</v>
      </c>
      <c r="C181" s="130"/>
      <c r="D181" s="146"/>
      <c r="E181" s="315">
        <f>IFERROR('Fin Statement'!E42/'Fin Statement'!E36,"")</f>
        <v>0.44291335956779831</v>
      </c>
      <c r="F181" s="315">
        <f>IFERROR('Fin Statement'!F42/'Fin Statement'!F36,"")</f>
        <v>0.38949056810704102</v>
      </c>
      <c r="G181" s="315">
        <f>IFERROR('Fin Statement'!G42/'Fin Statement'!G36,"")</f>
        <v>0.43232644287935607</v>
      </c>
      <c r="H181" s="315">
        <f>IFERROR('Fin Statement'!H42/'Fin Statement'!H36,"")</f>
        <v>0.41960193854985178</v>
      </c>
      <c r="I181" s="316">
        <f>IFERROR('Fin Statement'!I42/'Fin Statement'!I36,"")</f>
        <v>0.41346677214041555</v>
      </c>
      <c r="J181" s="315">
        <f>IFERROR('Fin Statement'!J42/'Fin Statement'!J36,"")</f>
        <v>0.40930359995715226</v>
      </c>
      <c r="K181" s="315">
        <f>IFERROR('Fin Statement'!K42/'Fin Statement'!K36,"")</f>
        <v>0.41195332864255946</v>
      </c>
      <c r="L181" s="315">
        <f>IFERROR('Fin Statement'!L42/'Fin Statement'!L36,"")</f>
        <v>0.4175397542454265</v>
      </c>
      <c r="M181" s="315">
        <f>IFERROR('Fin Statement'!M42/'Fin Statement'!M36,"")</f>
        <v>0.42246232563188141</v>
      </c>
      <c r="N181" s="315">
        <f>IFERROR('Fin Statement'!N42/'Fin Statement'!N36,"")</f>
        <v>0.4290697450399758</v>
      </c>
    </row>
    <row r="182" spans="2:14" x14ac:dyDescent="0.35">
      <c r="B182" s="135" t="s">
        <v>157</v>
      </c>
      <c r="C182" s="130"/>
      <c r="D182" s="146"/>
      <c r="E182" s="315">
        <f>IFERROR('Fin Statement'!E43/'Fin Statement'!E37,"")</f>
        <v>0.34183613886988873</v>
      </c>
      <c r="F182" s="315">
        <f>IFERROR('Fin Statement'!F43/'Fin Statement'!F37,"")</f>
        <v>0.22396251673360107</v>
      </c>
      <c r="G182" s="315">
        <f>IFERROR('Fin Statement'!G43/'Fin Statement'!G37,"")</f>
        <v>0.23523742082694049</v>
      </c>
      <c r="H182" s="315">
        <f>IFERROR('Fin Statement'!H43/'Fin Statement'!H37,"")</f>
        <v>0.25921791798569049</v>
      </c>
      <c r="I182" s="316">
        <f>IFERROR('Fin Statement'!I43/'Fin Statement'!I37,"")</f>
        <v>0.2661511137423222</v>
      </c>
      <c r="J182" s="315">
        <f>IFERROR('Fin Statement'!J43/'Fin Statement'!J37,"")</f>
        <v>0.26347125410682942</v>
      </c>
      <c r="K182" s="315">
        <f>IFERROR('Fin Statement'!K43/'Fin Statement'!K37,"")</f>
        <v>0.26517690081958784</v>
      </c>
      <c r="L182" s="315">
        <f>IFERROR('Fin Statement'!L43/'Fin Statement'!L37,"")</f>
        <v>0.26877291746766013</v>
      </c>
      <c r="M182" s="315">
        <f>IFERROR('Fin Statement'!M43/'Fin Statement'!M37,"")</f>
        <v>0.27194160705835874</v>
      </c>
      <c r="N182" s="315">
        <f>IFERROR('Fin Statement'!N43/'Fin Statement'!N37,"")</f>
        <v>0.27619484372190795</v>
      </c>
    </row>
    <row r="183" spans="2:14" x14ac:dyDescent="0.35">
      <c r="B183" s="135" t="s">
        <v>158</v>
      </c>
      <c r="C183" s="130"/>
      <c r="D183" s="130"/>
      <c r="E183" s="137" t="str">
        <f>""</f>
        <v/>
      </c>
      <c r="F183" s="137" t="str">
        <f>""</f>
        <v/>
      </c>
      <c r="G183" s="315">
        <f>IF(OR('Fin Statement'!G35="",'Fin Statement'!F35=""),"",'Fin Statement'!G35/'Fin Statement'!F35-1)</f>
        <v>0.13456044014402391</v>
      </c>
      <c r="H183" s="315">
        <f>IF(OR('Fin Statement'!H35="",'Fin Statement'!G35=""),"",'Fin Statement'!H35/'Fin Statement'!G35-1)</f>
        <v>0.13096798352368477</v>
      </c>
      <c r="I183" s="316">
        <f>IFERROR('Fin Statement'!I35/'Fin Statement'!H35-1,"")</f>
        <v>0.15881135667577184</v>
      </c>
      <c r="J183" s="315">
        <f>IF(OR('Fin Statement'!J35="",'Fin Statement'!I35=""),"",'Fin Statement'!J35/'Fin Statement'!I35-1)</f>
        <v>0.12000000000000011</v>
      </c>
      <c r="K183" s="315">
        <f>IF(OR('Fin Statement'!K35="",'Fin Statement'!J35=""),"",'Fin Statement'!K35/'Fin Statement'!J35-1)</f>
        <v>0.12000000000000011</v>
      </c>
      <c r="L183" s="315">
        <f>IF(OR('Fin Statement'!L35="",'Fin Statement'!K35=""),"",'Fin Statement'!L35/'Fin Statement'!K35-1)</f>
        <v>0.1100000000000001</v>
      </c>
      <c r="M183" s="315">
        <f>IF(OR('Fin Statement'!M35="",'Fin Statement'!L35=""),"",'Fin Statement'!M35/'Fin Statement'!L35-1)</f>
        <v>0.10000000000000009</v>
      </c>
      <c r="N183" s="315">
        <f>IF(OR('Fin Statement'!N35="",'Fin Statement'!M35=""),"",'Fin Statement'!N35/'Fin Statement'!M35-1)</f>
        <v>9.000000000000008E-2</v>
      </c>
    </row>
    <row r="184" spans="2:14" x14ac:dyDescent="0.35">
      <c r="B184" s="135" t="s">
        <v>159</v>
      </c>
      <c r="C184" s="130"/>
      <c r="D184" s="130"/>
      <c r="E184" s="137" t="str">
        <f>""</f>
        <v/>
      </c>
      <c r="F184" s="137" t="str">
        <f>""</f>
        <v/>
      </c>
      <c r="G184" s="315">
        <f>IF(OR('Fin Statement'!G36="",'Fin Statement'!F36=""),"",'Fin Statement'!G36/'Fin Statement'!F36-1)</f>
        <v>0.19905681070410175</v>
      </c>
      <c r="H184" s="315">
        <f>IF(OR('Fin Statement'!H36="",'Fin Statement'!G36=""),"",'Fin Statement'!H36/'Fin Statement'!G36-1)</f>
        <v>0.21495701088447827</v>
      </c>
      <c r="I184" s="316">
        <f>IFERROR('Fin Statement'!I36/'Fin Statement'!H36-1,"")</f>
        <v>0.29667341081259124</v>
      </c>
      <c r="J184" s="315">
        <f>IF(OR('Fin Statement'!J36="",'Fin Statement'!I36=""),"",'Fin Statement'!J36/'Fin Statement'!I36-1)</f>
        <v>0.32000000000000006</v>
      </c>
      <c r="K184" s="315">
        <f>IF(OR('Fin Statement'!K36="",'Fin Statement'!J36=""),"",'Fin Statement'!K36/'Fin Statement'!J36-1)</f>
        <v>0.28000000000000003</v>
      </c>
      <c r="L184" s="315">
        <f>IF(OR('Fin Statement'!L36="",'Fin Statement'!K36=""),"",'Fin Statement'!L36/'Fin Statement'!K36-1)</f>
        <v>0.24</v>
      </c>
      <c r="M184" s="315">
        <f>IF(OR('Fin Statement'!M36="",'Fin Statement'!L36=""),"",'Fin Statement'!M36/'Fin Statement'!L36-1)</f>
        <v>0.20999999999999996</v>
      </c>
      <c r="N184" s="315">
        <f>IF(OR('Fin Statement'!N36="",'Fin Statement'!M36=""),"",'Fin Statement'!N36/'Fin Statement'!M36-1)</f>
        <v>0.17999999999999994</v>
      </c>
    </row>
    <row r="185" spans="2:14" x14ac:dyDescent="0.35">
      <c r="B185" s="135" t="s">
        <v>160</v>
      </c>
      <c r="C185" s="130"/>
      <c r="D185" s="130"/>
      <c r="E185" s="137" t="str">
        <f>""</f>
        <v/>
      </c>
      <c r="F185" s="137" t="str">
        <f>""</f>
        <v/>
      </c>
      <c r="G185" s="315">
        <f>IF(OR('Fin Statement'!G37="",'Fin Statement'!F37=""),"",'Fin Statement'!G37/'Fin Statement'!F37-1)</f>
        <v>0.1342704149933065</v>
      </c>
      <c r="H185" s="315">
        <f>IF(OR('Fin Statement'!H37="",'Fin Statement'!G37=""),"",'Fin Statement'!H37/'Fin Statement'!G37-1)</f>
        <v>7.4963609898107686E-2</v>
      </c>
      <c r="I185" s="316">
        <f>IFERROR('Fin Statement'!I37/'Fin Statement'!H37-1,"")</f>
        <v>-1.092426210909625E-2</v>
      </c>
      <c r="J185" s="315">
        <f>IF(OR('Fin Statement'!J37="",'Fin Statement'!I37=""),"",'Fin Statement'!J37/'Fin Statement'!I37-1)</f>
        <v>-5.0000000000000155E-2</v>
      </c>
      <c r="K185" s="315">
        <f>IF(OR('Fin Statement'!K37="",'Fin Statement'!J37=""),"",'Fin Statement'!K37/'Fin Statement'!J37-1)</f>
        <v>1.0000000000000009E-2</v>
      </c>
      <c r="L185" s="315">
        <f>IF(OR('Fin Statement'!L37="",'Fin Statement'!K37=""),"",'Fin Statement'!L37/'Fin Statement'!K37-1)</f>
        <v>2.0000000000000018E-2</v>
      </c>
      <c r="M185" s="315">
        <f>IF(OR('Fin Statement'!M37="",'Fin Statement'!L37=""),"",'Fin Statement'!M37/'Fin Statement'!L37-1)</f>
        <v>3.0000000000000027E-2</v>
      </c>
      <c r="N185" s="315">
        <f>IF(OR('Fin Statement'!N37="",'Fin Statement'!M37=""),"",'Fin Statement'!N37/'Fin Statement'!M37-1)</f>
        <v>3.0000000000000027E-2</v>
      </c>
    </row>
    <row r="186" spans="2:14" x14ac:dyDescent="0.35">
      <c r="B186" s="135" t="s">
        <v>161</v>
      </c>
      <c r="C186" s="130"/>
      <c r="D186" s="146"/>
      <c r="E186" s="315">
        <f>IFERROR('Fin Statement'!E41/'Fin Statement'!E44,"")</f>
        <v>0.3560677836009738</v>
      </c>
      <c r="F186" s="315">
        <f>IFERROR('Fin Statement'!F41/'Fin Statement'!F44,"")</f>
        <v>0.56566090168656735</v>
      </c>
      <c r="G186" s="315">
        <f>IFERROR('Fin Statement'!G41/'Fin Statement'!G44,"")</f>
        <v>0.54518289729789005</v>
      </c>
      <c r="H186" s="315">
        <f>IFERROR('Fin Statement'!H41/'Fin Statement'!H44,"")</f>
        <v>0.54286225569525703</v>
      </c>
      <c r="I186" s="316">
        <f>IFERROR('Fin Statement'!I41/'Fin Statement'!I44,"")</f>
        <v>0.54032865876047587</v>
      </c>
      <c r="J186" s="315">
        <f>IFERROR('Fin Statement'!J41/'Fin Statement'!J44,"")</f>
        <v>0.51387950018330086</v>
      </c>
      <c r="K186" s="315">
        <f>IFERROR('Fin Statement'!K41/'Fin Statement'!K44,"")</f>
        <v>0.4887462458509324</v>
      </c>
      <c r="L186" s="315">
        <f>IFERROR('Fin Statement'!L41/'Fin Statement'!L44,"")</f>
        <v>0.46673122618522522</v>
      </c>
      <c r="M186" s="315">
        <f>IFERROR('Fin Statement'!M41/'Fin Statement'!M44,"")</f>
        <v>0.44700924698060945</v>
      </c>
      <c r="N186" s="315">
        <f>IFERROR('Fin Statement'!N41/'Fin Statement'!N44,"")</f>
        <v>0.43034791339866579</v>
      </c>
    </row>
    <row r="187" spans="2:14" x14ac:dyDescent="0.35">
      <c r="B187" s="135" t="s">
        <v>162</v>
      </c>
      <c r="C187" s="130"/>
      <c r="D187" s="146"/>
      <c r="E187" s="315">
        <f>IFERROR('Fin Statement'!E42/'Fin Statement'!E44,"")</f>
        <v>0.39819867359054006</v>
      </c>
      <c r="F187" s="315">
        <f>IFERROR('Fin Statement'!F42/'Fin Statement'!F44,"")</f>
        <v>0.3209448391943337</v>
      </c>
      <c r="G187" s="315">
        <f>IFERROR('Fin Statement'!G42/'Fin Statement'!G44,"")</f>
        <v>0.34553562453738818</v>
      </c>
      <c r="H187" s="315">
        <f>IFERROR('Fin Statement'!H42/'Fin Statement'!H44,"")</f>
        <v>0.34692051537408192</v>
      </c>
      <c r="I187" s="316">
        <f>IFERROR('Fin Statement'!I42/'Fin Statement'!I44,"")</f>
        <v>0.36700013527702802</v>
      </c>
      <c r="J187" s="315">
        <f>IFERROR('Fin Statement'!J42/'Fin Statement'!J44,"")</f>
        <v>0.41136318608038253</v>
      </c>
      <c r="K187" s="315">
        <f>IFERROR('Fin Statement'!K42/'Fin Statement'!K44,"")</f>
        <v>0.4471358703606032</v>
      </c>
      <c r="L187" s="315">
        <f>IFERROR('Fin Statement'!L42/'Fin Statement'!L44,"")</f>
        <v>0.47700358295853479</v>
      </c>
      <c r="M187" s="315">
        <f>IFERROR('Fin Statement'!M42/'Fin Statement'!M44,"")</f>
        <v>0.50253229376772046</v>
      </c>
      <c r="N187" s="315">
        <f>IFERROR('Fin Statement'!N42/'Fin Statement'!N44,"")</f>
        <v>0.52374836400907121</v>
      </c>
    </row>
    <row r="188" spans="2:14" x14ac:dyDescent="0.35">
      <c r="B188" s="135" t="s">
        <v>163</v>
      </c>
      <c r="C188" s="130"/>
      <c r="D188" s="146"/>
      <c r="E188" s="315">
        <f>IFERROR('Fin Statement'!E43/'Fin Statement'!E44,"")</f>
        <v>0.24573354280848614</v>
      </c>
      <c r="F188" s="315">
        <f>IFERROR('Fin Statement'!F43/'Fin Statement'!F44,"")</f>
        <v>0.11339425911909899</v>
      </c>
      <c r="G188" s="315">
        <f>IFERROR('Fin Statement'!G43/'Fin Statement'!G44,"")</f>
        <v>0.10928147816472179</v>
      </c>
      <c r="H188" s="315">
        <f>IFERROR('Fin Statement'!H43/'Fin Statement'!H44,"")</f>
        <v>0.11021722893066102</v>
      </c>
      <c r="I188" s="316">
        <f>IFERROR('Fin Statement'!I43/'Fin Statement'!I44,"")</f>
        <v>9.2671205962496048E-2</v>
      </c>
      <c r="J188" s="315">
        <f>IFERROR('Fin Statement'!J43/'Fin Statement'!J44,"")</f>
        <v>7.4757313736316555E-2</v>
      </c>
      <c r="K188" s="315">
        <f>IFERROR('Fin Statement'!K43/'Fin Statement'!K44,"")</f>
        <v>6.4117883788464405E-2</v>
      </c>
      <c r="L188" s="315">
        <f>IFERROR('Fin Statement'!L43/'Fin Statement'!L44,"")</f>
        <v>5.6265190856239988E-2</v>
      </c>
      <c r="M188" s="315">
        <f>IFERROR('Fin Statement'!M43/'Fin Statement'!M44,"")</f>
        <v>5.0458459251670161E-2</v>
      </c>
      <c r="N188" s="315">
        <f>IFERROR('Fin Statement'!N43/'Fin Statement'!N44,"")</f>
        <v>4.5903722592262872E-2</v>
      </c>
    </row>
    <row r="189" spans="2:14" x14ac:dyDescent="0.35">
      <c r="B189" s="135" t="s">
        <v>164</v>
      </c>
      <c r="C189" s="130"/>
      <c r="D189" s="130"/>
      <c r="E189" s="137" t="str">
        <f>""</f>
        <v/>
      </c>
      <c r="F189" s="137" t="str">
        <f>""</f>
        <v/>
      </c>
      <c r="G189" s="315">
        <f>IF(OR('Fin Statement'!G41="",'Fin Statement'!F41=""),"",'Fin Statement'!G41/'Fin Statement'!F41-1)</f>
        <v>0.19145664416663344</v>
      </c>
      <c r="H189" s="315">
        <f>IF(OR('Fin Statement'!H41="",'Fin Statement'!G41=""),"",'Fin Statement'!H41/'Fin Statement'!G41-1)</f>
        <v>0.16949095724174912</v>
      </c>
      <c r="I189" s="316">
        <f>IFERROR('Fin Statement'!I41/'Fin Statement'!H41-1,"")</f>
        <v>0.20216989379846062</v>
      </c>
      <c r="J189" s="315">
        <f>IF(OR('Fin Statement'!J41="",'Fin Statement'!I41=""),"",'Fin Statement'!J41/'Fin Statement'!I41-1)</f>
        <v>0.10872278703046212</v>
      </c>
      <c r="K189" s="315">
        <f>IF(OR('Fin Statement'!K41="",'Fin Statement'!J41=""),"",'Fin Statement'!K41/'Fin Statement'!J41-1)</f>
        <v>0.12725059864600952</v>
      </c>
      <c r="L189" s="315">
        <f>IF(OR('Fin Statement'!L41="",'Fin Statement'!K41=""),"",'Fin Statement'!L41/'Fin Statement'!K41-1)</f>
        <v>0.12505251199114076</v>
      </c>
      <c r="M189" s="315">
        <f>IF(OR('Fin Statement'!M41="",'Fin Statement'!L41=""),"",'Fin Statement'!M41/'Fin Statement'!L41-1)</f>
        <v>0.11296841431275451</v>
      </c>
      <c r="N189" s="315">
        <f>IF(OR('Fin Statement'!N41="",'Fin Statement'!M41=""),"",'Fin Statement'!N41/'Fin Statement'!M41-1)</f>
        <v>0.10704788029098355</v>
      </c>
    </row>
    <row r="190" spans="2:14" x14ac:dyDescent="0.35">
      <c r="B190" s="135" t="s">
        <v>165</v>
      </c>
      <c r="C190" s="130"/>
      <c r="D190" s="130"/>
      <c r="E190" s="137" t="str">
        <f>""</f>
        <v/>
      </c>
      <c r="F190" s="137" t="str">
        <f>""</f>
        <v/>
      </c>
      <c r="G190" s="315">
        <f>IF(OR('Fin Statement'!G42="",'Fin Statement'!F42=""),"",'Fin Statement'!G42/'Fin Statement'!F42-1)</f>
        <v>0.33092816162753858</v>
      </c>
      <c r="H190" s="315">
        <f>IF(OR('Fin Statement'!H42="",'Fin Statement'!G42=""),"",'Fin Statement'!H42/'Fin Statement'!G42-1)</f>
        <v>0.17919763044455617</v>
      </c>
      <c r="I190" s="316">
        <f>IFERROR('Fin Statement'!I42/'Fin Statement'!H42-1,"")</f>
        <v>0.27771423445244348</v>
      </c>
      <c r="J190" s="315">
        <f>IF(OR('Fin Statement'!J42="",'Fin Statement'!I42=""),"",'Fin Statement'!J42/'Fin Statement'!I42-1)</f>
        <v>0.30670899900018722</v>
      </c>
      <c r="K190" s="315">
        <f>IF(OR('Fin Statement'!K42="",'Fin Statement'!J42=""),"",'Fin Statement'!K42/'Fin Statement'!J42-1)</f>
        <v>0.2882863984525823</v>
      </c>
      <c r="L190" s="315">
        <f>IF(OR('Fin Statement'!L42="",'Fin Statement'!K42=""),"",'Fin Statement'!L42/'Fin Statement'!K42-1)</f>
        <v>0.25681541880091374</v>
      </c>
      <c r="M190" s="315">
        <f>IF(OR('Fin Statement'!M42="",'Fin Statement'!L42=""),"",'Fin Statement'!M42/'Fin Statement'!L42-1)</f>
        <v>0.22426525574402989</v>
      </c>
      <c r="N190" s="315">
        <f>IF(OR('Fin Statement'!N42="",'Fin Statement'!M42=""),"",'Fin Statement'!N42/'Fin Statement'!M42-1)</f>
        <v>0.19845550343427587</v>
      </c>
    </row>
    <row r="191" spans="2:14" x14ac:dyDescent="0.35">
      <c r="B191" s="135" t="s">
        <v>166</v>
      </c>
      <c r="C191" s="130"/>
      <c r="D191" s="130"/>
      <c r="E191" s="137" t="str">
        <f>""</f>
        <v/>
      </c>
      <c r="F191" s="137" t="str">
        <f>""</f>
        <v/>
      </c>
      <c r="G191" s="315">
        <f>IF(OR('Fin Statement'!G43="",'Fin Statement'!F43=""),"",'Fin Statement'!G43/'Fin Statement'!F43-1)</f>
        <v>0.19137278342299258</v>
      </c>
      <c r="H191" s="315">
        <f>IF(OR('Fin Statement'!H43="",'Fin Statement'!G43=""),"",'Fin Statement'!H43/'Fin Statement'!G43-1)</f>
        <v>0.18454720294338989</v>
      </c>
      <c r="I191" s="316">
        <f>IFERROR('Fin Statement'!I43/'Fin Statement'!H43-1,"")</f>
        <v>1.5530142594945673E-2</v>
      </c>
      <c r="J191" s="315">
        <f>IF(OR('Fin Statement'!J43="",'Fin Statement'!I43=""),"",'Fin Statement'!J43/'Fin Statement'!I43-1)</f>
        <v>-5.956549314380466E-2</v>
      </c>
      <c r="K191" s="315">
        <f>IF(OR('Fin Statement'!K43="",'Fin Statement'!J43=""),"",'Fin Statement'!K43/'Fin Statement'!J43-1)</f>
        <v>1.6538486278990572E-2</v>
      </c>
      <c r="L191" s="315">
        <f>IF(OR('Fin Statement'!L43="",'Fin Statement'!K43=""),"",'Fin Statement'!L43/'Fin Statement'!K43-1)</f>
        <v>3.3832038045912727E-2</v>
      </c>
      <c r="M191" s="315">
        <f>IF(OR('Fin Statement'!M43="",'Fin Statement'!L43=""),"",'Fin Statement'!M43/'Fin Statement'!L43-1)</f>
        <v>4.2143151583761362E-2</v>
      </c>
      <c r="N191" s="315">
        <f>IF(OR('Fin Statement'!N43="",'Fin Statement'!M43=""),"",'Fin Statement'!N43/'Fin Statement'!M43-1)</f>
        <v>4.6109464862122085E-2</v>
      </c>
    </row>
    <row r="192" spans="2:14" x14ac:dyDescent="0.35">
      <c r="B192" s="135" t="s">
        <v>167</v>
      </c>
      <c r="C192" s="130"/>
      <c r="D192" s="130"/>
      <c r="E192" s="315" t="str">
        <f>IF('Fin Statement'!E49&lt;&gt;"",'Fin Statement'!E49,IF('Fin Statement'!E48&lt;&gt;"",'Fin Statement'!E48,""))</f>
        <v/>
      </c>
      <c r="F192" s="315">
        <f>IF('Fin Statement'!F49&lt;&gt;"",'Fin Statement'!F49,IF('Fin Statement'!F48&lt;&gt;"",'Fin Statement'!F48,""))</f>
        <v>0.28999999999999998</v>
      </c>
      <c r="G192" s="315">
        <f>IF('Fin Statement'!G49&lt;&gt;"",'Fin Statement'!G49,IF('Fin Statement'!G48&lt;&gt;"",'Fin Statement'!G48,""))</f>
        <v>0.3</v>
      </c>
      <c r="H192" s="315">
        <f>IF('Fin Statement'!H49&lt;&gt;"",'Fin Statement'!H49,IF('Fin Statement'!H48&lt;&gt;"",'Fin Statement'!H48,""))</f>
        <v>0.34</v>
      </c>
      <c r="I192" s="316" t="str">
        <f>IF('Fin Statement'!I49&lt;&gt;"",'Fin Statement'!I49,IF('Fin Statement'!I48&lt;&gt;"",'Fin Statement'!I48,""))</f>
        <v/>
      </c>
      <c r="J192" s="315" t="str">
        <f>IF('Fin Statement'!J49&lt;&gt;"",'Fin Statement'!J49,IF('Fin Statement'!J48&lt;&gt;"",'Fin Statement'!J48,""))</f>
        <v/>
      </c>
      <c r="K192" s="315" t="str">
        <f>IF('Fin Statement'!K49&lt;&gt;"",'Fin Statement'!K49,IF('Fin Statement'!K48&lt;&gt;"",'Fin Statement'!K48,""))</f>
        <v/>
      </c>
      <c r="L192" s="315" t="str">
        <f>IF('Fin Statement'!L49&lt;&gt;"",'Fin Statement'!L49,IF('Fin Statement'!L48&lt;&gt;"",'Fin Statement'!L48,""))</f>
        <v/>
      </c>
      <c r="M192" s="315" t="str">
        <f>IF('Fin Statement'!M49&lt;&gt;"",'Fin Statement'!M49,IF('Fin Statement'!M48&lt;&gt;"",'Fin Statement'!M48,""))</f>
        <v/>
      </c>
      <c r="N192" s="315" t="str">
        <f>IF('Fin Statement'!N49&lt;&gt;"",'Fin Statement'!N49,IF('Fin Statement'!N48&lt;&gt;"",'Fin Statement'!N48,""))</f>
        <v/>
      </c>
    </row>
    <row r="193" spans="2:14" x14ac:dyDescent="0.35">
      <c r="B193" s="135"/>
      <c r="C193" s="130"/>
      <c r="D193" s="130"/>
      <c r="E193" s="130"/>
      <c r="F193" s="130"/>
      <c r="G193" s="130"/>
      <c r="H193" s="130"/>
      <c r="I193" s="130"/>
      <c r="J193" s="130"/>
      <c r="K193" s="130"/>
      <c r="L193" s="130"/>
      <c r="M193" s="130"/>
      <c r="N193" s="130"/>
    </row>
    <row r="194" spans="2:14" ht="32.5" customHeight="1" x14ac:dyDescent="0.35">
      <c r="B194" s="139" t="s">
        <v>168</v>
      </c>
      <c r="C194" s="127"/>
      <c r="D194" s="127"/>
      <c r="E194" s="127"/>
      <c r="F194" s="127"/>
      <c r="G194" s="127"/>
      <c r="H194" s="127"/>
      <c r="I194" s="127"/>
      <c r="J194" s="127"/>
      <c r="K194" s="127"/>
      <c r="L194" s="127"/>
      <c r="M194" s="127"/>
      <c r="N194" s="127"/>
    </row>
    <row r="195" spans="2:14" x14ac:dyDescent="0.35">
      <c r="B195" s="5"/>
      <c r="C195" s="5"/>
      <c r="D195" s="5"/>
      <c r="E195" s="5"/>
      <c r="F195" s="5"/>
      <c r="G195" s="5"/>
      <c r="H195" s="5"/>
      <c r="I195" s="5"/>
      <c r="J195" s="5"/>
      <c r="K195" s="5"/>
      <c r="L195" s="5"/>
      <c r="M195" s="5"/>
      <c r="N195" s="5"/>
    </row>
    <row r="196" spans="2:14" ht="22" customHeight="1" x14ac:dyDescent="0.35">
      <c r="B196" s="140" t="s">
        <v>862</v>
      </c>
      <c r="C196" s="141"/>
      <c r="D196" s="141"/>
      <c r="E196" s="141" t="s">
        <v>874</v>
      </c>
      <c r="F196" s="141" t="s">
        <v>875</v>
      </c>
      <c r="G196" s="141" t="s">
        <v>876</v>
      </c>
      <c r="H196" s="141" t="s">
        <v>877</v>
      </c>
      <c r="I196" s="141" t="s">
        <v>5</v>
      </c>
      <c r="J196" s="141" t="s">
        <v>878</v>
      </c>
      <c r="K196" s="141" t="s">
        <v>879</v>
      </c>
      <c r="L196" s="141" t="s">
        <v>880</v>
      </c>
      <c r="M196" s="141" t="s">
        <v>881</v>
      </c>
      <c r="N196" s="141" t="s">
        <v>882</v>
      </c>
    </row>
    <row r="197" spans="2:14" x14ac:dyDescent="0.35">
      <c r="B197" s="142" t="s">
        <v>863</v>
      </c>
      <c r="C197" s="142"/>
      <c r="D197" s="147"/>
      <c r="E197" s="143">
        <f>IFERROR('Fin Statement'!E20/'Fin Statement'!E9,"")</f>
        <v>0.49348363342916224</v>
      </c>
      <c r="F197" s="143">
        <f>IFERROR('Fin Statement'!F20/'Fin Statement'!F9,"")</f>
        <v>0.48313710685888211</v>
      </c>
      <c r="G197" s="143">
        <f>IFERROR('Fin Statement'!G20/'Fin Statement'!G9,"")</f>
        <v>0.5319432772252185</v>
      </c>
      <c r="H197" s="143">
        <f>IFERROR('Fin Statement'!H20/'Fin Statement'!H9,"")</f>
        <v>0.56069415456262162</v>
      </c>
      <c r="I197" s="143">
        <f>IFERROR('Fin Statement'!I20/'Fin Statement'!I9,"")</f>
        <v>0.58393076160427193</v>
      </c>
      <c r="J197" s="143">
        <f>IFERROR('Fin Statement'!J20/'Fin Statement'!J9,"")</f>
        <v>0.60169969538678469</v>
      </c>
      <c r="K197" s="143">
        <f>IFERROR('Fin Statement'!K20/'Fin Statement'!K9,"")</f>
        <v>0.61229428536264074</v>
      </c>
      <c r="L197" s="143">
        <f>IFERROR('Fin Statement'!L20/'Fin Statement'!L9,"")</f>
        <v>0.6233504178997743</v>
      </c>
      <c r="M197" s="143">
        <f>IFERROR('Fin Statement'!M20/'Fin Statement'!M9,"")</f>
        <v>0.63013952850832267</v>
      </c>
      <c r="N197" s="143">
        <f>IFERROR('Fin Statement'!N20/'Fin Statement'!N9,"")</f>
        <v>0.63853933392604634</v>
      </c>
    </row>
    <row r="198" spans="2:14" x14ac:dyDescent="0.35">
      <c r="B198" s="142" t="s">
        <v>864</v>
      </c>
      <c r="C198" s="142"/>
      <c r="D198" s="147"/>
      <c r="E198" s="144">
        <f>IFERROR('Fin Statement'!E103-'Fin Statement'!E119,"")</f>
        <v>74602</v>
      </c>
      <c r="F198" s="144">
        <f>IFERROR('Fin Statement'!F103-'Fin Statement'!F119,"")</f>
        <v>80108</v>
      </c>
      <c r="G198" s="144">
        <f>IFERROR('Fin Statement'!G103-'Fin Statement'!G119,"")</f>
        <v>34448</v>
      </c>
      <c r="H198" s="144">
        <f>IFERROR('Fin Statement'!H103-'Fin Statement'!H119,"")</f>
        <v>49913</v>
      </c>
      <c r="I198" s="144">
        <f>IFERROR('Fin Statement'!I103-'Fin Statement'!I119,"")</f>
        <v>38885</v>
      </c>
      <c r="J198" s="144">
        <f>IFERROR('Fin Statement'!J103-'Fin Statement'!J119,"")</f>
        <v>68601.867407542944</v>
      </c>
      <c r="K198" s="144">
        <f>IFERROR('Fin Statement'!K103-'Fin Statement'!K119,"")</f>
        <v>103179.13286711753</v>
      </c>
      <c r="L198" s="144">
        <f>IFERROR('Fin Statement'!L103-'Fin Statement'!L119,"")</f>
        <v>161091.37232376728</v>
      </c>
      <c r="M198" s="144">
        <f>IFERROR('Fin Statement'!M103-'Fin Statement'!M119,"")</f>
        <v>245858.23745480704</v>
      </c>
      <c r="N198" s="144">
        <f>IFERROR('Fin Statement'!N103-'Fin Statement'!N119,"")</f>
        <v>362146.10836788983</v>
      </c>
    </row>
    <row r="199" spans="2:14" x14ac:dyDescent="0.35">
      <c r="B199" s="142" t="s">
        <v>865</v>
      </c>
      <c r="C199" s="142"/>
      <c r="D199" s="147"/>
      <c r="E199" s="145">
        <f>IFERROR(SUM('Fin Statement'!E113,'Fin Statement'!E114,'Fin Statement'!E120)/'Fin Statement'!E20,"")</f>
        <v>0.50878448126079534</v>
      </c>
      <c r="F199" s="145">
        <f>IFERROR(SUM('Fin Statement'!F113,'Fin Statement'!F114,'Fin Statement'!F120)/'Fin Statement'!F20,"")</f>
        <v>0.46137091733083296</v>
      </c>
      <c r="G199" s="145">
        <f>IFERROR(SUM('Fin Statement'!G113,'Fin Statement'!G114,'Fin Statement'!G120)/'Fin Statement'!G20,"")</f>
        <v>0.39596291155064384</v>
      </c>
      <c r="H199" s="145">
        <f>IFERROR(SUM('Fin Statement'!H113,'Fin Statement'!H114,'Fin Statement'!H120)/'Fin Statement'!H20,"")</f>
        <v>0.27317502421483786</v>
      </c>
      <c r="I199" s="145">
        <f>IFERROR(SUM('Fin Statement'!I113,'Fin Statement'!I114,'Fin Statement'!I120)/'Fin Statement'!I20,"")</f>
        <v>0.2079464935413452</v>
      </c>
      <c r="J199" s="145">
        <f>IFERROR(SUM('Fin Statement'!J113,'Fin Statement'!J114,'Fin Statement'!J120)/'Fin Statement'!J20,"")</f>
        <v>0.16232291821538311</v>
      </c>
      <c r="K199" s="145">
        <f>IFERROR(SUM('Fin Statement'!K113,'Fin Statement'!K114,'Fin Statement'!K120)/'Fin Statement'!K20,"")</f>
        <v>0.12452178126471469</v>
      </c>
      <c r="L199" s="145">
        <f>IFERROR(SUM('Fin Statement'!L113,'Fin Statement'!L114,'Fin Statement'!L120)/'Fin Statement'!L20,"")</f>
        <v>0.10104751178922214</v>
      </c>
      <c r="M199" s="145">
        <f>IFERROR(SUM('Fin Statement'!M113,'Fin Statement'!M114,'Fin Statement'!M120)/'Fin Statement'!M20,"")</f>
        <v>8.084420431403809E-2</v>
      </c>
      <c r="N199" s="145">
        <f>IFERROR(SUM('Fin Statement'!N113,'Fin Statement'!N114,'Fin Statement'!N120)/'Fin Statement'!N20,"")</f>
        <v>6.5794875418573442E-2</v>
      </c>
    </row>
    <row r="200" spans="2:14" x14ac:dyDescent="0.35">
      <c r="B200" s="142" t="s">
        <v>866</v>
      </c>
      <c r="C200" s="142"/>
      <c r="D200" s="142"/>
      <c r="E200" s="150" t="str">
        <f>""</f>
        <v/>
      </c>
      <c r="F200" s="145">
        <f>IFERROR('Fin Statement'!F13/AVERAGE('Fin Statement'!E101,'Fin Statement'!F101),"")</f>
        <v>21.103172060237103</v>
      </c>
      <c r="G200" s="145">
        <f>IFERROR('Fin Statement'!G13/AVERAGE('Fin Statement'!F101,'Fin Statement'!G101),"")</f>
        <v>39.569674319273894</v>
      </c>
      <c r="H200" s="145">
        <f>IFERROR('Fin Statement'!H13/AVERAGE('Fin Statement'!G101,'Fin Statement'!H101),"")</f>
        <v>80.431318681318686</v>
      </c>
      <c r="I200" s="145">
        <f>IFERROR('Fin Statement'!I13/AVERAGE('Fin Statement'!H101,'Fin Statement'!I101),"")</f>
        <v>91.112633832976442</v>
      </c>
      <c r="J200" s="145">
        <f>IFERROR('Fin Statement'!J13/AVERAGE('Fin Statement'!I101,'Fin Statement'!J101),"")</f>
        <v>82.950397645455965</v>
      </c>
      <c r="K200" s="145">
        <f>IFERROR('Fin Statement'!K13/AVERAGE('Fin Statement'!J101,'Fin Statement'!K101),"")</f>
        <v>79.03156207163282</v>
      </c>
      <c r="L200" s="145">
        <f>IFERROR('Fin Statement'!L13/AVERAGE('Fin Statement'!K101,'Fin Statement'!L101),"")</f>
        <v>78.37096830135836</v>
      </c>
      <c r="M200" s="145">
        <f>IFERROR('Fin Statement'!M13/AVERAGE('Fin Statement'!L101,'Fin Statement'!M101),"")</f>
        <v>77.952117259638385</v>
      </c>
      <c r="N200" s="145">
        <f>IFERROR('Fin Statement'!N13/AVERAGE('Fin Statement'!M101,'Fin Statement'!N101),"")</f>
        <v>77.419484234904985</v>
      </c>
    </row>
    <row r="201" spans="2:14" x14ac:dyDescent="0.35">
      <c r="B201" s="142" t="s">
        <v>867</v>
      </c>
      <c r="C201" s="142"/>
      <c r="D201" s="142"/>
      <c r="E201" s="149" t="str">
        <f>""</f>
        <v/>
      </c>
      <c r="F201" s="149">
        <f t="shared" ref="F201:N201" si="0">IFERROR(365/F200,"")</f>
        <v>17.295978014970469</v>
      </c>
      <c r="G201" s="149">
        <f t="shared" si="0"/>
        <v>9.2242356369916614</v>
      </c>
      <c r="H201" s="149">
        <f t="shared" si="0"/>
        <v>4.5380332684359734</v>
      </c>
      <c r="I201" s="149">
        <f t="shared" si="0"/>
        <v>4.0060306089833979</v>
      </c>
      <c r="J201" s="149">
        <f t="shared" si="0"/>
        <v>4.4002200153406346</v>
      </c>
      <c r="K201" s="149">
        <f t="shared" si="0"/>
        <v>4.6184080186744936</v>
      </c>
      <c r="L201" s="149">
        <f t="shared" si="0"/>
        <v>4.6573368673521118</v>
      </c>
      <c r="M201" s="149">
        <f t="shared" si="0"/>
        <v>4.6823615936470233</v>
      </c>
      <c r="N201" s="149">
        <f t="shared" si="0"/>
        <v>4.714575453545037</v>
      </c>
    </row>
    <row r="202" spans="2:14" x14ac:dyDescent="0.35">
      <c r="B202" s="142" t="s">
        <v>868</v>
      </c>
      <c r="C202" s="142"/>
      <c r="D202" s="142"/>
      <c r="E202" s="150" t="str">
        <f>""</f>
        <v/>
      </c>
      <c r="F202" s="145">
        <f>IFERROR('Fin Statement'!F13/AVERAGE('Fin Statement'!E112,'Fin Statement'!F112),"")</f>
        <v>3.5510446151772475</v>
      </c>
      <c r="G202" s="145">
        <f>IFERROR('Fin Statement'!G13/AVERAGE('Fin Statement'!F112,'Fin Statement'!G112),"")</f>
        <v>3.697288668279664</v>
      </c>
      <c r="H202" s="145">
        <f>IFERROR('Fin Statement'!H13/AVERAGE('Fin Statement'!G112,'Fin Statement'!H112),"")</f>
        <v>3.5330249396621078</v>
      </c>
      <c r="I202" s="145">
        <f>IFERROR('Fin Statement'!I13/AVERAGE('Fin Statement'!H112,'Fin Statement'!I112),"")</f>
        <v>3.033190761334474</v>
      </c>
      <c r="J202" s="145">
        <f>IFERROR('Fin Statement'!J13/AVERAGE('Fin Statement'!I112,'Fin Statement'!J112),"")</f>
        <v>2.8583763975390042</v>
      </c>
      <c r="K202" s="145">
        <f>IFERROR('Fin Statement'!K13/AVERAGE('Fin Statement'!J112,'Fin Statement'!K112),"")</f>
        <v>2.8781987788412122</v>
      </c>
      <c r="L202" s="145">
        <f>IFERROR('Fin Statement'!L13/AVERAGE('Fin Statement'!K112,'Fin Statement'!L112),"")</f>
        <v>2.9615062103847434</v>
      </c>
      <c r="M202" s="145">
        <f>IFERROR('Fin Statement'!M13/AVERAGE('Fin Statement'!L112,'Fin Statement'!M112),"")</f>
        <v>3.0610173614867251</v>
      </c>
      <c r="N202" s="145">
        <f>IFERROR('Fin Statement'!N13/AVERAGE('Fin Statement'!M112,'Fin Statement'!N112),"")</f>
        <v>3.1638880211144667</v>
      </c>
    </row>
    <row r="203" spans="2:14" x14ac:dyDescent="0.35">
      <c r="B203" s="142" t="s">
        <v>869</v>
      </c>
      <c r="C203" s="142"/>
      <c r="D203" s="142"/>
      <c r="E203" s="149" t="str">
        <f>""</f>
        <v/>
      </c>
      <c r="F203" s="149">
        <f t="shared" ref="F203:N203" si="1">IFERROR(365/F202,"")</f>
        <v>102.78665563366383</v>
      </c>
      <c r="G203" s="149">
        <f t="shared" si="1"/>
        <v>98.720990636047162</v>
      </c>
      <c r="H203" s="149">
        <f t="shared" si="1"/>
        <v>103.31090389498013</v>
      </c>
      <c r="I203" s="149">
        <f t="shared" si="1"/>
        <v>120.33532630153985</v>
      </c>
      <c r="J203" s="149">
        <f t="shared" si="1"/>
        <v>127.69486912719282</v>
      </c>
      <c r="K203" s="149">
        <f t="shared" si="1"/>
        <v>126.81542452288586</v>
      </c>
      <c r="L203" s="149">
        <f t="shared" si="1"/>
        <v>123.24809541850703</v>
      </c>
      <c r="M203" s="149">
        <f t="shared" si="1"/>
        <v>119.24140143482258</v>
      </c>
      <c r="N203" s="149">
        <f t="shared" si="1"/>
        <v>115.36438633862593</v>
      </c>
    </row>
    <row r="204" spans="2:14" x14ac:dyDescent="0.35">
      <c r="B204" s="142" t="s">
        <v>870</v>
      </c>
      <c r="C204" s="142"/>
      <c r="D204" s="142"/>
      <c r="E204" s="149" t="str">
        <f>""</f>
        <v/>
      </c>
      <c r="F204" s="149">
        <f t="shared" ref="F204:N204" si="2">IF(OR(F164="",F201="",F203=""),"",F164+F201-F203)</f>
        <v>-5.4435242789108997</v>
      </c>
      <c r="G204" s="149">
        <f t="shared" si="2"/>
        <v>-10.865746766420315</v>
      </c>
      <c r="H204" s="149">
        <f t="shared" si="2"/>
        <v>-16.613407818973627</v>
      </c>
      <c r="I204" s="149">
        <f t="shared" si="2"/>
        <v>-33.404948343390146</v>
      </c>
      <c r="J204" s="149">
        <f t="shared" si="2"/>
        <v>-40.95164644723009</v>
      </c>
      <c r="K204" s="149">
        <f t="shared" si="2"/>
        <v>-39.989353771805369</v>
      </c>
      <c r="L204" s="149">
        <f t="shared" si="2"/>
        <v>-36.413421592745863</v>
      </c>
      <c r="M204" s="149">
        <f t="shared" si="2"/>
        <v>-32.374093126603086</v>
      </c>
      <c r="N204" s="149">
        <f t="shared" si="2"/>
        <v>-28.402556596702311</v>
      </c>
    </row>
    <row r="205" spans="2:14" x14ac:dyDescent="0.35">
      <c r="B205" s="142" t="s">
        <v>871</v>
      </c>
      <c r="C205" s="142"/>
      <c r="D205" s="142"/>
      <c r="E205" s="143" t="str">
        <f>""</f>
        <v/>
      </c>
      <c r="F205" s="143" t="str">
        <f>""</f>
        <v/>
      </c>
      <c r="G205" s="143" t="str">
        <f>""</f>
        <v/>
      </c>
      <c r="H205" s="143" t="str">
        <f>""</f>
        <v/>
      </c>
      <c r="I205" s="148" t="str">
        <f>""</f>
        <v/>
      </c>
      <c r="J205" s="143">
        <f>IFERROR(('3 statement Model'!J174+'3 statement Model'!J175)/'3 statement Model'!J9,"")</f>
        <v>0.39740630595096199</v>
      </c>
      <c r="K205" s="143">
        <f>IFERROR(('3 statement Model'!K174+'3 statement Model'!K175)/'3 statement Model'!K9,"")</f>
        <v>0.36933594808700815</v>
      </c>
      <c r="L205" s="143">
        <f>IFERROR(('3 statement Model'!L174+'3 statement Model'!L175)/'3 statement Model'!L9,"")</f>
        <v>0.34481806266750425</v>
      </c>
      <c r="M205" s="143">
        <f>IFERROR(('3 statement Model'!M174+'3 statement Model'!M175)/'3 statement Model'!M9,"")</f>
        <v>0.32351005771942892</v>
      </c>
      <c r="N205" s="143">
        <f>IFERROR(('3 statement Model'!N174+'3 statement Model'!N175)/'3 statement Model'!N9,"")</f>
        <v>0.30625593083296482</v>
      </c>
    </row>
    <row r="206" spans="2:14" x14ac:dyDescent="0.35">
      <c r="B206" s="142" t="s">
        <v>872</v>
      </c>
      <c r="C206" s="142"/>
      <c r="D206" s="142"/>
      <c r="E206" s="144" t="str">
        <f>""</f>
        <v/>
      </c>
      <c r="F206" s="144" t="str">
        <f>""</f>
        <v/>
      </c>
      <c r="G206" s="144" t="str">
        <f>""</f>
        <v/>
      </c>
      <c r="H206" s="144" t="str">
        <f>""</f>
        <v/>
      </c>
      <c r="I206" s="149" t="str">
        <f>""</f>
        <v/>
      </c>
      <c r="J206" s="144">
        <f>DCF!E27</f>
        <v>54693.139130799405</v>
      </c>
      <c r="K206" s="144">
        <f>DCF!F27</f>
        <v>82168.901841628845</v>
      </c>
      <c r="L206" s="144">
        <f>DCF!G27</f>
        <v>113872.18854754824</v>
      </c>
      <c r="M206" s="144">
        <f>DCF!H27</f>
        <v>144911.33441586865</v>
      </c>
      <c r="N206" s="144">
        <f>DCF!I27</f>
        <v>181368.63934143702</v>
      </c>
    </row>
    <row r="207" spans="2:14" x14ac:dyDescent="0.35">
      <c r="B207" s="142" t="s">
        <v>873</v>
      </c>
      <c r="C207" s="142"/>
      <c r="D207" s="142"/>
      <c r="E207" s="143" t="str">
        <f>""</f>
        <v/>
      </c>
      <c r="F207" s="143" t="str">
        <f>""</f>
        <v/>
      </c>
      <c r="G207" s="143" t="str">
        <f>""</f>
        <v/>
      </c>
      <c r="H207" s="143" t="str">
        <f>""</f>
        <v/>
      </c>
      <c r="I207" s="148" t="str">
        <f>""</f>
        <v/>
      </c>
      <c r="J207" s="143">
        <f>IFERROR(J206/'Fin Statement'!J9,"")</f>
        <v>0.14022837666343871</v>
      </c>
      <c r="K207" s="143">
        <f>IFERROR(K206/'Fin Statement'!K9,"")</f>
        <v>0.17851723097027233</v>
      </c>
      <c r="L207" s="143">
        <f>IFERROR(L206/'Fin Statement'!L9,"")</f>
        <v>0.21224425646851</v>
      </c>
      <c r="M207" s="143">
        <f>IFERROR(M206/'Fin Statement'!M9,"")</f>
        <v>0.23440137080538567</v>
      </c>
      <c r="N207" s="143">
        <f>IFERROR(N206/'Fin Statement'!N9,"")</f>
        <v>0.2583498672810236</v>
      </c>
    </row>
    <row r="208" spans="2:14" x14ac:dyDescent="0.35">
      <c r="B208" s="142"/>
      <c r="C208" s="142"/>
      <c r="D208" s="142"/>
      <c r="E208" s="142"/>
      <c r="F208" s="142"/>
      <c r="G208" s="142"/>
      <c r="H208" s="142"/>
      <c r="I208" s="142"/>
      <c r="J208" s="142"/>
      <c r="K208" s="142"/>
      <c r="L208" s="142"/>
      <c r="M208" s="142"/>
      <c r="N208" s="142"/>
    </row>
    <row r="209" spans="2:14" ht="62" customHeight="1" x14ac:dyDescent="0.35">
      <c r="B209" s="113" t="s">
        <v>883</v>
      </c>
      <c r="C209" s="113"/>
      <c r="D209" s="113"/>
      <c r="E209" s="113"/>
      <c r="F209" s="113"/>
      <c r="G209" s="113"/>
      <c r="H209" s="113"/>
      <c r="I209" s="113"/>
      <c r="J209" s="113"/>
      <c r="K209" s="113"/>
      <c r="L209" s="113"/>
      <c r="M209" s="113"/>
      <c r="N209" s="1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2C2E9-1C3E-432E-97A8-4516E1FCA259}">
  <dimension ref="B1:S87"/>
  <sheetViews>
    <sheetView showGridLines="0" zoomScale="62" zoomScaleNormal="62" workbookViewId="0">
      <pane xSplit="2" ySplit="5" topLeftCell="C6" activePane="bottomRight" state="frozen"/>
      <selection pane="topRight" activeCell="C1" sqref="C1"/>
      <selection pane="bottomLeft" activeCell="A6" sqref="A6"/>
      <selection pane="bottomRight" activeCell="O63" sqref="O63:O87"/>
    </sheetView>
  </sheetViews>
  <sheetFormatPr defaultRowHeight="14.5" customHeight="1" x14ac:dyDescent="0.35"/>
  <cols>
    <col min="1" max="1" width="2.6328125" customWidth="1"/>
    <col min="2" max="2" width="23" bestFit="1" customWidth="1"/>
    <col min="3" max="4" width="2.6328125" customWidth="1"/>
    <col min="10" max="10" width="14.81640625" bestFit="1" customWidth="1"/>
  </cols>
  <sheetData>
    <row r="1" spans="2:19" ht="14.5" customHeight="1" x14ac:dyDescent="0.35">
      <c r="B1" t="s">
        <v>219</v>
      </c>
      <c r="P1" s="305" t="str">
        <f>HYPERLINK("#'Cover'!A1","Cover")</f>
        <v>Cover</v>
      </c>
    </row>
    <row r="3" spans="2:19" ht="14.5" customHeight="1" x14ac:dyDescent="0.35">
      <c r="E3" s="151" t="s">
        <v>3</v>
      </c>
      <c r="F3" s="151"/>
      <c r="G3" s="151"/>
      <c r="H3" s="151"/>
      <c r="I3" s="152"/>
      <c r="J3" s="153" t="s">
        <v>220</v>
      </c>
      <c r="K3" s="153" t="s">
        <v>221</v>
      </c>
      <c r="L3" s="153"/>
      <c r="M3" s="153"/>
      <c r="N3" s="153"/>
      <c r="O3" s="154" t="s">
        <v>222</v>
      </c>
      <c r="P3" s="155" t="s">
        <v>223</v>
      </c>
    </row>
    <row r="4" spans="2:19" ht="14.5" customHeight="1" x14ac:dyDescent="0.35">
      <c r="B4" s="156" t="s">
        <v>224</v>
      </c>
      <c r="C4" s="156"/>
      <c r="D4" s="161"/>
      <c r="E4" s="275">
        <v>2022</v>
      </c>
      <c r="F4" s="275">
        <v>2023</v>
      </c>
      <c r="G4" s="275">
        <v>2024</v>
      </c>
      <c r="H4" s="275">
        <v>2025</v>
      </c>
      <c r="I4" s="275">
        <v>2026</v>
      </c>
      <c r="J4" s="279" t="s">
        <v>225</v>
      </c>
      <c r="K4" s="275">
        <v>2023</v>
      </c>
      <c r="L4" s="275">
        <v>2024</v>
      </c>
      <c r="M4" s="275">
        <v>2025</v>
      </c>
      <c r="N4" s="275">
        <v>2026</v>
      </c>
      <c r="Q4" s="24"/>
      <c r="R4" s="24"/>
      <c r="S4" s="24"/>
    </row>
    <row r="5" spans="2:19" ht="14.5" customHeight="1" x14ac:dyDescent="0.35">
      <c r="B5" s="157" t="s">
        <v>12</v>
      </c>
      <c r="C5" s="157"/>
      <c r="D5" s="162"/>
      <c r="E5" s="321">
        <f>'Common Size&amp;Ratio'!E14</f>
        <v>0.68401674484289099</v>
      </c>
      <c r="F5" s="321">
        <f>'Common Size&amp;Ratio'!F14</f>
        <v>0.68920085883491022</v>
      </c>
      <c r="G5" s="321">
        <f>'Common Size&amp;Ratio'!G14</f>
        <v>0.69764443827971379</v>
      </c>
      <c r="H5" s="321">
        <f>'Common Size&amp;Ratio'!H14</f>
        <v>0.68823742386165188</v>
      </c>
      <c r="I5" s="321">
        <f>'Common Size&amp;Ratio'!I14</f>
        <v>0.67944093370580316</v>
      </c>
      <c r="J5" s="164">
        <f t="shared" ref="J5:J16" si="0">(I5-E5)*100</f>
        <v>-0.45758111370878263</v>
      </c>
      <c r="K5" s="164">
        <f t="shared" ref="K5:N16" si="1">(F5-E5)*100</f>
        <v>0.51841139920192347</v>
      </c>
      <c r="L5" s="164">
        <f t="shared" si="1"/>
        <v>0.84435794448035617</v>
      </c>
      <c r="M5" s="164">
        <f t="shared" si="1"/>
        <v>-0.94070144180619097</v>
      </c>
      <c r="N5" s="164">
        <f t="shared" si="1"/>
        <v>-0.8796490155848713</v>
      </c>
      <c r="O5" s="355" t="str">
        <f t="shared" ref="O5:O16" si="2">IF(J5&gt;0,"Up",IF(J5&lt;0,"Down","Flat"))</f>
        <v>Down</v>
      </c>
      <c r="P5" s="158" t="str">
        <f t="array" ref="P5">IF(COUNT(K5:N5)&lt;2,"n/a",
IF(OR(COUNTIF(K5:N5,"&gt;0")=COUNT(K5:N5),COUNTIF(K5:N5,"&lt;0")=COUNT(K5:N5)),
 IF(COUNTIF(K5:N5,"&gt;0")=COUNT(K5:N5),"Persistent rise – ","Persistent decline – ")&amp;
 IF(ABS(N5)&gt;1.25*SUMPRODUCT(ABS(IFERROR(K5:M5*1,0)))/COUNT(K5:M5),"accelerating",
 IF(ABS(N5)&lt;0.75*SUMPRODUCT(ABS(IFERROR(K5:M5*1,0)))/COUNT(K5:M5),"decelerating","steady pace")),
 IF(SUMPRODUCT(--(IFERROR(K5:M5*L5:N5,0)&lt;0))=1,
   IF(INDEX(K5:N5,MATCH(TRUE,INDEX(ISNUMBER(K5:N5),0),0))&gt;0,"Reversing – peak ","Reversing – trough ")&amp;
   INDEX($E$4:$I$4,MATCH(IF(INDEX(K5:N5,MATCH(TRUE,INDEX(ISNUMBER(K5:N5),0),0))&gt;0,MAX(E5:I5),MIN(E5:I5)),E5:I5,0)),
   "Volatile – direction changed "&amp;SUMPRODUCT(--(IFERROR(K5:M5*L5:N5,0)&lt;0))&amp;"x")))</f>
        <v>Reversing – peak 2024</v>
      </c>
    </row>
    <row r="6" spans="2:19" ht="14.5" customHeight="1" x14ac:dyDescent="0.35">
      <c r="B6" s="157" t="s">
        <v>226</v>
      </c>
      <c r="C6" s="157"/>
      <c r="D6" s="162"/>
      <c r="E6" s="321">
        <f>'Common Size&amp;Ratio'!E20</f>
        <v>0.4205527815604983</v>
      </c>
      <c r="F6" s="321">
        <f>'Common Size&amp;Ratio'!F20</f>
        <v>0.41772880636104098</v>
      </c>
      <c r="G6" s="321">
        <f>'Common Size&amp;Ratio'!G20</f>
        <v>0.44644299573273716</v>
      </c>
      <c r="H6" s="321">
        <f>'Common Size&amp;Ratio'!H20</f>
        <v>0.45621956240859851</v>
      </c>
      <c r="I6" s="321">
        <f>'Common Size&amp;Ratio'!I20</f>
        <v>0.46780818408927222</v>
      </c>
      <c r="J6" s="164">
        <f t="shared" si="0"/>
        <v>4.7255402528773915</v>
      </c>
      <c r="K6" s="164">
        <f t="shared" si="1"/>
        <v>-0.28239751994573181</v>
      </c>
      <c r="L6" s="164">
        <f t="shared" si="1"/>
        <v>2.8714189371696177</v>
      </c>
      <c r="M6" s="164">
        <f t="shared" si="1"/>
        <v>0.97765666758613534</v>
      </c>
      <c r="N6" s="164">
        <f t="shared" si="1"/>
        <v>1.1588621680673705</v>
      </c>
      <c r="O6" s="355" t="str">
        <f t="shared" si="2"/>
        <v>Up</v>
      </c>
      <c r="P6" s="158" t="str">
        <f t="array" ref="P6">IF(COUNT(K6:N6)&lt;2,"n/a",
IF(OR(COUNTIF(K6:N6,"&gt;0")=COUNT(K6:N6),COUNTIF(K6:N6,"&lt;0")=COUNT(K6:N6)),
 IF(COUNTIF(K6:N6,"&gt;0")=COUNT(K6:N6),"Persistent rise – ","Persistent decline – ")&amp;
 IF(ABS(N6)&gt;1.25*SUMPRODUCT(ABS(IFERROR(K6:M6*1,0)))/COUNT(K6:M6),"accelerating",
 IF(ABS(N6)&lt;0.75*SUMPRODUCT(ABS(IFERROR(K6:M6*1,0)))/COUNT(K6:M6),"decelerating","steady pace")),
 IF(SUMPRODUCT(--(IFERROR(K6:M6*L6:N6,0)&lt;0))=1,
   IF(INDEX(K6:N6,MATCH(TRUE,INDEX(ISNUMBER(K6:N6),0),0))&gt;0,"Reversing – peak ","Reversing – trough ")&amp;
   INDEX($E$4:$I$4,MATCH(IF(INDEX(K6:N6,MATCH(TRUE,INDEX(ISNUMBER(K6:N6),0),0))&gt;0,MAX(E6:I6),MIN(E6:I6)),E6:I6,0)),
   "Volatile – direction changed "&amp;SUMPRODUCT(--(IFERROR(K6:M6*L6:N6,0)&lt;0))&amp;"x")))</f>
        <v>Reversing – trough 2023</v>
      </c>
    </row>
    <row r="7" spans="2:19" ht="14.5" customHeight="1" x14ac:dyDescent="0.35">
      <c r="B7" s="157" t="s">
        <v>121</v>
      </c>
      <c r="C7" s="157"/>
      <c r="D7" s="162"/>
      <c r="E7" s="321">
        <f>'Common Size&amp;Ratio'!E27</f>
        <v>0.36686336813436221</v>
      </c>
      <c r="F7" s="321">
        <f>'Common Size&amp;Ratio'!F27</f>
        <v>0.34146237878394642</v>
      </c>
      <c r="G7" s="321">
        <f>'Common Size&amp;Ratio'!G27</f>
        <v>0.35955972944084985</v>
      </c>
      <c r="H7" s="321">
        <f>'Common Size&amp;Ratio'!H27</f>
        <v>0.36146015248967073</v>
      </c>
      <c r="I7" s="321">
        <f>'Common Size&amp;Ratio'!I27</f>
        <v>0.4030538905915218</v>
      </c>
      <c r="J7" s="164">
        <f t="shared" si="0"/>
        <v>3.6190522457159591</v>
      </c>
      <c r="K7" s="164">
        <f t="shared" si="1"/>
        <v>-2.5400989350415792</v>
      </c>
      <c r="L7" s="164">
        <f t="shared" si="1"/>
        <v>1.8097350656903433</v>
      </c>
      <c r="M7" s="164">
        <f t="shared" si="1"/>
        <v>0.19004230488208762</v>
      </c>
      <c r="N7" s="164">
        <f t="shared" si="1"/>
        <v>4.159373810185107</v>
      </c>
      <c r="O7" s="355" t="str">
        <f t="shared" si="2"/>
        <v>Up</v>
      </c>
      <c r="P7" s="158" t="str">
        <f t="array" ref="P7">IF(COUNT(K7:N7)&lt;2,"n/a",
IF(OR(COUNTIF(K7:N7,"&gt;0")=COUNT(K7:N7),COUNTIF(K7:N7,"&lt;0")=COUNT(K7:N7)),
 IF(COUNTIF(K7:N7,"&gt;0")=COUNT(K7:N7),"Persistent rise – ","Persistent decline – ")&amp;
 IF(ABS(N7)&gt;1.25*SUMPRODUCT(ABS(IFERROR(K7:M7*1,0)))/COUNT(K7:M7),"accelerating",
 IF(ABS(N7)&lt;0.75*SUMPRODUCT(ABS(IFERROR(K7:M7*1,0)))/COUNT(K7:M7),"decelerating","steady pace")),
 IF(SUMPRODUCT(--(IFERROR(K7:M7*L7:N7,0)&lt;0))=1,
   IF(INDEX(K7:N7,MATCH(TRUE,INDEX(ISNUMBER(K7:N7),0),0))&gt;0,"Reversing – peak ","Reversing – trough ")&amp;
   INDEX($E$4:$I$4,MATCH(IF(INDEX(K7:N7,MATCH(TRUE,INDEX(ISNUMBER(K7:N7),0),0))&gt;0,MAX(E7:I7),MIN(E7:I7)),E7:I7,0)),
   "Volatile – direction changed "&amp;SUMPRODUCT(--(IFERROR(K7:M7*L7:N7,0)&lt;0))&amp;"x")))</f>
        <v>Reversing – trough 2023</v>
      </c>
    </row>
    <row r="8" spans="2:19" ht="14.5" customHeight="1" x14ac:dyDescent="0.35">
      <c r="B8" s="157" t="s">
        <v>227</v>
      </c>
      <c r="C8" s="157"/>
      <c r="D8" s="162"/>
      <c r="E8" s="321">
        <f>IF('Common Size&amp;Ratio'!E144="",0,"")</f>
        <v>0</v>
      </c>
      <c r="F8" s="321">
        <f>'Common Size&amp;Ratio'!F144</f>
        <v>0.5652697117557749</v>
      </c>
      <c r="G8" s="321">
        <f>'Common Size&amp;Ratio'!G144</f>
        <v>0.46272339249564204</v>
      </c>
      <c r="H8" s="321">
        <f>'Common Size&amp;Ratio'!H144</f>
        <v>0.39457044306990313</v>
      </c>
      <c r="I8" s="321">
        <f>'Common Size&amp;Ratio'!I144</f>
        <v>0.35857939734445748</v>
      </c>
      <c r="J8" s="164">
        <f t="shared" si="0"/>
        <v>35.85793973444575</v>
      </c>
      <c r="K8" s="164">
        <f t="shared" si="1"/>
        <v>56.526971175577486</v>
      </c>
      <c r="L8" s="164">
        <f t="shared" si="1"/>
        <v>-10.254631926013285</v>
      </c>
      <c r="M8" s="164">
        <f t="shared" si="1"/>
        <v>-6.8152949425738907</v>
      </c>
      <c r="N8" s="164">
        <f t="shared" si="1"/>
        <v>-3.5991045725445647</v>
      </c>
      <c r="O8" s="355" t="str">
        <f t="shared" si="2"/>
        <v>Up</v>
      </c>
      <c r="P8" s="158" t="str">
        <f t="array" ref="P8">IF(COUNT(K8:N8)&lt;2,"n/a",
IF(OR(COUNTIF(K8:N8,"&gt;0")=COUNT(K8:N8),COUNTIF(K8:N8,"&lt;0")=COUNT(K8:N8)),
 IF(COUNTIF(K8:N8,"&gt;0")=COUNT(K8:N8),"Persistent rise – ","Persistent decline – ")&amp;
 IF(ABS(N8)&gt;1.25*SUMPRODUCT(ABS(IFERROR(K8:M8*1,0)))/COUNT(K8:M8),"accelerating",
 IF(ABS(N8)&lt;0.75*SUMPRODUCT(ABS(IFERROR(K8:M8*1,0)))/COUNT(K8:M8),"decelerating","steady pace")),
 IF(SUMPRODUCT(--(IFERROR(K8:M8*L8:N8,0)&lt;0))=1,
   IF(INDEX(K8:N8,MATCH(TRUE,INDEX(ISNUMBER(K8:N8),0),0))&gt;0,"Reversing – peak ","Reversing – trough ")&amp;
   INDEX($E$4:$I$4,MATCH(IF(INDEX(K8:N8,MATCH(TRUE,INDEX(ISNUMBER(K8:N8),0),0))&gt;0,MAX(E8:I8),MIN(E8:I8)),E8:I8,0)),
   "Volatile – direction changed "&amp;SUMPRODUCT(--(IFERROR(K8:M8*L8:N8,0)&lt;0))&amp;"x")))</f>
        <v>Reversing – peak 2023</v>
      </c>
    </row>
    <row r="9" spans="2:19" ht="14.5" customHeight="1" x14ac:dyDescent="0.35">
      <c r="B9" s="157" t="s">
        <v>228</v>
      </c>
      <c r="C9" s="157"/>
      <c r="D9" s="162"/>
      <c r="E9" s="321">
        <f>IF('Common Size&amp;Ratio'!E143="",,"0")</f>
        <v>0</v>
      </c>
      <c r="F9" s="321">
        <f>'Common Size&amp;Ratio'!F143</f>
        <v>0.30652804349143414</v>
      </c>
      <c r="G9" s="321">
        <f>'Common Size&amp;Ratio'!G143</f>
        <v>0.31504928717842418</v>
      </c>
      <c r="H9" s="321">
        <f>'Common Size&amp;Ratio'!H143</f>
        <v>0.29729073325761973</v>
      </c>
      <c r="I9" s="321">
        <f>'Common Size&amp;Ratio'!I143</f>
        <v>0.29088684350570015</v>
      </c>
      <c r="J9" s="164">
        <f t="shared" si="0"/>
        <v>29.088684350570016</v>
      </c>
      <c r="K9" s="164">
        <f t="shared" si="1"/>
        <v>30.652804349143416</v>
      </c>
      <c r="L9" s="164">
        <f t="shared" si="1"/>
        <v>0.85212436869900321</v>
      </c>
      <c r="M9" s="164">
        <f t="shared" si="1"/>
        <v>-1.7758553920804443</v>
      </c>
      <c r="N9" s="164">
        <f t="shared" si="1"/>
        <v>-0.64038897519195781</v>
      </c>
      <c r="O9" s="355" t="str">
        <f t="shared" si="2"/>
        <v>Up</v>
      </c>
      <c r="P9" s="158" t="str">
        <f t="array" ref="P9">IF(COUNT(K9:N9)&lt;2,"n/a",
IF(OR(COUNTIF(K9:N9,"&gt;0")=COUNT(K9:N9),COUNTIF(K9:N9,"&lt;0")=COUNT(K9:N9)),
 IF(COUNTIF(K9:N9,"&gt;0")=COUNT(K9:N9),"Persistent rise – ","Persistent decline – ")&amp;
 IF(ABS(N9)&gt;1.25*SUMPRODUCT(ABS(IFERROR(K9:M9*1,0)))/COUNT(K9:M9),"accelerating",
 IF(ABS(N9)&lt;0.75*SUMPRODUCT(ABS(IFERROR(K9:M9*1,0)))/COUNT(K9:M9),"decelerating","steady pace")),
 IF(SUMPRODUCT(--(IFERROR(K9:M9*L9:N9,0)&lt;0))=1,
   IF(INDEX(K9:N9,MATCH(TRUE,INDEX(ISNUMBER(K9:N9),0),0))&gt;0,"Reversing – peak ","Reversing – trough ")&amp;
   INDEX($E$4:$I$4,MATCH(IF(INDEX(K9:N9,MATCH(TRUE,INDEX(ISNUMBER(K9:N9),0),0))&gt;0,MAX(E9:I9),MIN(E9:I9)),E9:I9,0)),
   "Volatile – direction changed "&amp;SUMPRODUCT(--(IFERROR(K9:M9*L9:N9,0)&lt;0))&amp;"x")))</f>
        <v>Reversing – peak 2024</v>
      </c>
    </row>
    <row r="10" spans="2:19" ht="14.5" customHeight="1" x14ac:dyDescent="0.35">
      <c r="B10" s="157" t="s">
        <v>229</v>
      </c>
      <c r="C10" s="157"/>
      <c r="D10" s="162"/>
      <c r="E10" s="321">
        <f ca="1">WACC!E28</f>
        <v>7.4896581547652857E-2</v>
      </c>
      <c r="F10" s="321">
        <f ca="1">WACC!F28</f>
        <v>8.351615994063305E-2</v>
      </c>
      <c r="G10" s="321">
        <f ca="1">WACC!G28</f>
        <v>8.1537556923330645E-2</v>
      </c>
      <c r="H10" s="321">
        <f ca="1">WACC!H28</f>
        <v>8.7468722949088834E-2</v>
      </c>
      <c r="I10" s="321">
        <f>WACC!I28</f>
        <v>9.053558405181325E-2</v>
      </c>
      <c r="J10" s="164">
        <f t="shared" ca="1" si="0"/>
        <v>1.5639002504160393</v>
      </c>
      <c r="K10" s="164">
        <f t="shared" ca="1" si="1"/>
        <v>0.86195783929801928</v>
      </c>
      <c r="L10" s="164">
        <f t="shared" ca="1" si="1"/>
        <v>-0.1978603017302405</v>
      </c>
      <c r="M10" s="164">
        <f t="shared" ca="1" si="1"/>
        <v>0.59311660257581889</v>
      </c>
      <c r="N10" s="164">
        <f t="shared" ca="1" si="1"/>
        <v>0.30668611027244164</v>
      </c>
      <c r="O10" s="355" t="str">
        <f t="shared" ca="1" si="2"/>
        <v>Up</v>
      </c>
      <c r="P10" s="158" t="str">
        <f t="array" aca="1" ref="P10" ca="1">IF(COUNT(K10:N10)&lt;2,"n/a",
IF(OR(COUNTIF(K10:N10,"&gt;0")=COUNT(K10:N10),COUNTIF(K10:N10,"&lt;0")=COUNT(K10:N10)),
 IF(COUNTIF(K10:N10,"&gt;0")=COUNT(K10:N10),"Persistent rise – ","Persistent decline – ")&amp;
 IF(ABS(N10)&gt;1.25*SUMPRODUCT(ABS(IFERROR(K10:M10*1,0)))/COUNT(K10:M10),"accelerating",
 IF(ABS(N10)&lt;0.75*SUMPRODUCT(ABS(IFERROR(K10:M10*1,0)))/COUNT(K10:M10),"decelerating","steady pace")),
 IF(SUMPRODUCT(--(IFERROR(K10:M10*L10:N10,0)&lt;0))=1,
   IF(INDEX(K10:N10,MATCH(TRUE,INDEX(ISNUMBER(K10:N10),0),0))&gt;0,"Reversing – peak ","Reversing – trough ")&amp;
   INDEX($E$4:$I$4,MATCH(IF(INDEX(K10:N10,MATCH(TRUE,INDEX(ISNUMBER(K10:N10),0),0))&gt;0,MAX(E10:I10),MIN(E10:I10)),E10:I10,0)),
   "Volatile – direction changed "&amp;SUMPRODUCT(--(IFERROR(K10:M10*L10:N10,0)&lt;0))&amp;"x")))</f>
        <v>Volatile – direction changed 2x</v>
      </c>
    </row>
    <row r="11" spans="2:19" ht="14.5" customHeight="1" x14ac:dyDescent="0.35">
      <c r="B11" s="157" t="s">
        <v>126</v>
      </c>
      <c r="C11" s="157"/>
      <c r="D11" s="162"/>
      <c r="E11" s="163">
        <f>IF(E8=0,0%,E8-E10)</f>
        <v>0</v>
      </c>
      <c r="F11" s="163">
        <f ca="1">IF(F8="",0%,F8-F10)</f>
        <v>0.48175355181514184</v>
      </c>
      <c r="G11" s="163">
        <f ca="1">IF(G8="",0%,G8-G10)</f>
        <v>0.38118583557231139</v>
      </c>
      <c r="H11" s="163">
        <f ca="1">IF(H8="",0%,H8-H10)</f>
        <v>0.30710172012081427</v>
      </c>
      <c r="I11" s="163">
        <f>IF(I8="",0%,I8-I10)</f>
        <v>0.26804381329264426</v>
      </c>
      <c r="J11" s="164">
        <f t="shared" si="0"/>
        <v>26.804381329264427</v>
      </c>
      <c r="K11" s="164">
        <f t="shared" ca="1" si="1"/>
        <v>48.175355181514185</v>
      </c>
      <c r="L11" s="164">
        <f t="shared" ca="1" si="1"/>
        <v>-10.056771624283044</v>
      </c>
      <c r="M11" s="164">
        <f t="shared" ca="1" si="1"/>
        <v>-7.4084115451497121</v>
      </c>
      <c r="N11" s="164">
        <f t="shared" ca="1" si="1"/>
        <v>-3.9057906828170008</v>
      </c>
      <c r="O11" s="355" t="str">
        <f t="shared" si="2"/>
        <v>Up</v>
      </c>
      <c r="P11" s="158" t="str">
        <f t="array" aca="1" ref="P11" ca="1">IF(COUNT(K11:N11)&lt;2,"n/a",
IF(OR(COUNTIF(K11:N11,"&gt;0")=COUNT(K11:N11),COUNTIF(K11:N11,"&lt;0")=COUNT(K11:N11)),
 IF(COUNTIF(K11:N11,"&gt;0")=COUNT(K11:N11),"Persistent rise – ","Persistent decline – ")&amp;
 IF(ABS(N11)&gt;1.25*SUMPRODUCT(ABS(IFERROR(K11:M11*1,0)))/COUNT(K11:M11),"accelerating",
 IF(ABS(N11)&lt;0.75*SUMPRODUCT(ABS(IFERROR(K11:M11*1,0)))/COUNT(K11:M11),"decelerating","steady pace")),
 IF(SUMPRODUCT(--(IFERROR(K11:M11*L11:N11,0)&lt;0))=1,
   IF(INDEX(K11:N11,MATCH(TRUE,INDEX(ISNUMBER(K11:N11),0),0))&gt;0,"Reversing – peak ","Reversing – trough ")&amp;
   INDEX($E$4:$I$4,MATCH(IF(INDEX(K11:N11,MATCH(TRUE,INDEX(ISNUMBER(K11:N11),0),0))&gt;0,MAX(E11:I11),MIN(E11:I11)),E11:I11,0)),
   "Volatile – direction changed "&amp;SUMPRODUCT(--(IFERROR(K11:M11*L11:N11,0)&lt;0))&amp;"x")))</f>
        <v>Reversing – peak 2023</v>
      </c>
    </row>
    <row r="12" spans="2:19" ht="14.5" customHeight="1" x14ac:dyDescent="0.35">
      <c r="B12" s="157" t="s">
        <v>127</v>
      </c>
      <c r="C12" s="157"/>
      <c r="D12" s="162"/>
      <c r="E12" s="321">
        <f>IF('Common Size&amp;Ratio'!E146="",0,"")</f>
        <v>0</v>
      </c>
      <c r="F12" s="321">
        <f>'Common Size&amp;Ratio'!F146</f>
        <v>-2.3704492019399573E-2</v>
      </c>
      <c r="G12" s="321">
        <f>'Common Size&amp;Ratio'!G146</f>
        <v>0.17348886150873849</v>
      </c>
      <c r="H12" s="321">
        <f>'Common Size&amp;Ratio'!H146</f>
        <v>0.34498344840908135</v>
      </c>
      <c r="I12" s="321">
        <f>'Common Size&amp;Ratio'!I146</f>
        <v>0.16926553246697312</v>
      </c>
      <c r="J12" s="164">
        <f t="shared" si="0"/>
        <v>16.926553246697313</v>
      </c>
      <c r="K12" s="164">
        <f t="shared" si="1"/>
        <v>-2.3704492019399575</v>
      </c>
      <c r="L12" s="164">
        <f t="shared" si="1"/>
        <v>19.719335352813804</v>
      </c>
      <c r="M12" s="164">
        <f t="shared" si="1"/>
        <v>17.149458690034287</v>
      </c>
      <c r="N12" s="164">
        <f t="shared" si="1"/>
        <v>-17.571791594210822</v>
      </c>
      <c r="O12" s="355" t="str">
        <f t="shared" si="2"/>
        <v>Up</v>
      </c>
      <c r="P12" s="158" t="str">
        <f t="array" ref="P12">IF(COUNT(K12:N12)&lt;2,"n/a",
IF(OR(COUNTIF(K12:N12,"&gt;0")=COUNT(K12:N12),COUNTIF(K12:N12,"&lt;0")=COUNT(K12:N12)),
 IF(COUNTIF(K12:N12,"&gt;0")=COUNT(K12:N12),"Persistent rise – ","Persistent decline – ")&amp;
 IF(ABS(N12)&gt;1.25*SUMPRODUCT(ABS(IFERROR(K12:M12*1,0)))/COUNT(K12:M12),"accelerating",
 IF(ABS(N12)&lt;0.75*SUMPRODUCT(ABS(IFERROR(K12:M12*1,0)))/COUNT(K12:M12),"decelerating","steady pace")),
 IF(SUMPRODUCT(--(IFERROR(K12:M12*L12:N12,0)&lt;0))=1,
   IF(INDEX(K12:N12,MATCH(TRUE,INDEX(ISNUMBER(K12:N12),0),0))&gt;0,"Reversing – peak ","Reversing – trough ")&amp;
   INDEX($E$4:$I$4,MATCH(IF(INDEX(K12:N12,MATCH(TRUE,INDEX(ISNUMBER(K12:N12),0),0))&gt;0,MAX(E12:I12),MIN(E12:I12)),E12:I12,0)),
   "Volatile – direction changed "&amp;SUMPRODUCT(--(IFERROR(K12:M12*L12:N12,0)&lt;0))&amp;"x")))</f>
        <v>Volatile – direction changed 2x</v>
      </c>
    </row>
    <row r="13" spans="2:19" ht="14.5" customHeight="1" x14ac:dyDescent="0.35">
      <c r="B13" s="157" t="s">
        <v>230</v>
      </c>
      <c r="C13" s="157"/>
      <c r="D13" s="162"/>
      <c r="E13" s="321">
        <f>IF('Common Size&amp;Ratio'!E147="",0,"")</f>
        <v>0</v>
      </c>
      <c r="F13" s="321">
        <f>'Common Size&amp;Ratio'!F147</f>
        <v>6.8820295556564215E-2</v>
      </c>
      <c r="G13" s="321">
        <f>'Common Size&amp;Ratio'!G147</f>
        <v>0.1566996201307127</v>
      </c>
      <c r="H13" s="321">
        <f>'Common Size&amp;Ratio'!H147</f>
        <v>0.14932156232406713</v>
      </c>
      <c r="I13" s="321">
        <f>'Common Size&amp;Ratio'!I147</f>
        <v>0.17788686799846665</v>
      </c>
      <c r="J13" s="164">
        <f t="shared" si="0"/>
        <v>17.788686799846666</v>
      </c>
      <c r="K13" s="164">
        <f t="shared" si="1"/>
        <v>6.8820295556564215</v>
      </c>
      <c r="L13" s="164">
        <f t="shared" si="1"/>
        <v>8.7879324574148487</v>
      </c>
      <c r="M13" s="164">
        <f t="shared" si="1"/>
        <v>-0.73780578066455771</v>
      </c>
      <c r="N13" s="164">
        <f t="shared" si="1"/>
        <v>2.8565305674399522</v>
      </c>
      <c r="O13" s="355" t="str">
        <f t="shared" si="2"/>
        <v>Up</v>
      </c>
      <c r="P13" s="158" t="str">
        <f t="array" ref="P13">IF(COUNT(K13:N13)&lt;2,"n/a",
IF(OR(COUNTIF(K13:N13,"&gt;0")=COUNT(K13:N13),COUNTIF(K13:N13,"&lt;0")=COUNT(K13:N13)),
 IF(COUNTIF(K13:N13,"&gt;0")=COUNT(K13:N13),"Persistent rise – ","Persistent decline – ")&amp;
 IF(ABS(N13)&gt;1.25*SUMPRODUCT(ABS(IFERROR(K13:M13*1,0)))/COUNT(K13:M13),"accelerating",
 IF(ABS(N13)&lt;0.75*SUMPRODUCT(ABS(IFERROR(K13:M13*1,0)))/COUNT(K13:M13),"decelerating","steady pace")),
 IF(SUMPRODUCT(--(IFERROR(K13:M13*L13:N13,0)&lt;0))=1,
   IF(INDEX(K13:N13,MATCH(TRUE,INDEX(ISNUMBER(K13:N13),0),0))&gt;0,"Reversing – peak ","Reversing – trough ")&amp;
   INDEX($E$4:$I$4,MATCH(IF(INDEX(K13:N13,MATCH(TRUE,INDEX(ISNUMBER(K13:N13),0),0))&gt;0,MAX(E13:I13),MIN(E13:I13)),E13:I13,0)),
   "Volatile – direction changed "&amp;SUMPRODUCT(--(IFERROR(K13:M13*L13:N13,0)&lt;0))&amp;"x")))</f>
        <v>Volatile – direction changed 2x</v>
      </c>
    </row>
    <row r="14" spans="2:19" ht="14.5" customHeight="1" x14ac:dyDescent="0.35">
      <c r="B14" s="157" t="s">
        <v>231</v>
      </c>
      <c r="C14" s="157"/>
      <c r="D14" s="162"/>
      <c r="E14" s="321">
        <f>IF('Common Size&amp;Ratio'!E152="",0,"")</f>
        <v>0</v>
      </c>
      <c r="F14" s="321">
        <f>'Common Size&amp;Ratio'!F152</f>
        <v>6.1643260616672357E-2</v>
      </c>
      <c r="G14" s="321">
        <f>'Common Size&amp;Ratio'!G152</f>
        <v>0.23620979858341906</v>
      </c>
      <c r="H14" s="321">
        <f>'Common Size&amp;Ratio'!H152</f>
        <v>0.17449032741494785</v>
      </c>
      <c r="I14" s="321">
        <f>'Common Size&amp;Ratio'!I152</f>
        <v>0.20780685920577624</v>
      </c>
      <c r="J14" s="164">
        <f t="shared" si="0"/>
        <v>20.780685920577625</v>
      </c>
      <c r="K14" s="164">
        <f t="shared" si="1"/>
        <v>6.1643260616672357</v>
      </c>
      <c r="L14" s="164">
        <f t="shared" si="1"/>
        <v>17.456653796674672</v>
      </c>
      <c r="M14" s="164">
        <f t="shared" si="1"/>
        <v>-6.1719471168471207</v>
      </c>
      <c r="N14" s="164">
        <f t="shared" si="1"/>
        <v>3.3316531790828385</v>
      </c>
      <c r="O14" s="355" t="str">
        <f t="shared" si="2"/>
        <v>Up</v>
      </c>
      <c r="P14" s="158" t="str">
        <f t="array" ref="P14">IF(COUNT(K14:N14)&lt;2,"n/a",
IF(OR(COUNTIF(K14:N14,"&gt;0")=COUNT(K14:N14),COUNTIF(K14:N14,"&lt;0")=COUNT(K14:N14)),
 IF(COUNTIF(K14:N14,"&gt;0")=COUNT(K14:N14),"Persistent rise – ","Persistent decline – ")&amp;
 IF(ABS(N14)&gt;1.25*SUMPRODUCT(ABS(IFERROR(K14:M14*1,0)))/COUNT(K14:M14),"accelerating",
 IF(ABS(N14)&lt;0.75*SUMPRODUCT(ABS(IFERROR(K14:M14*1,0)))/COUNT(K14:M14),"decelerating","steady pace")),
 IF(SUMPRODUCT(--(IFERROR(K14:M14*L14:N14,0)&lt;0))=1,
   IF(INDEX(K14:N14,MATCH(TRUE,INDEX(ISNUMBER(K14:N14),0),0))&gt;0,"Reversing – peak ","Reversing – trough ")&amp;
   INDEX($E$4:$I$4,MATCH(IF(INDEX(K14:N14,MATCH(TRUE,INDEX(ISNUMBER(K14:N14),0),0))&gt;0,MAX(E14:I14),MIN(E14:I14)),E14:I14,0)),
   "Volatile – direction changed "&amp;SUMPRODUCT(--(IFERROR(K14:M14*L14:N14,0)&lt;0))&amp;"x")))</f>
        <v>Volatile – direction changed 2x</v>
      </c>
    </row>
    <row r="15" spans="2:19" ht="14.5" customHeight="1" x14ac:dyDescent="0.35">
      <c r="B15" s="157" t="s">
        <v>232</v>
      </c>
      <c r="C15" s="157"/>
      <c r="D15" s="162"/>
      <c r="E15" s="321">
        <f>'Common Size&amp;Ratio'!E24</f>
        <v>1.6795279164775307E-3</v>
      </c>
      <c r="F15" s="321">
        <f>'Common Size&amp;Ratio'!F24</f>
        <v>3.7184720288795034E-3</v>
      </c>
      <c r="G15" s="321">
        <f>'Common Size&amp;Ratio'!G24</f>
        <v>-6.715023539298798E-3</v>
      </c>
      <c r="H15" s="321">
        <f>'Common Size&amp;Ratio'!H24</f>
        <v>-1.7396458945634734E-2</v>
      </c>
      <c r="I15" s="321">
        <f>'Common Size&amp;Ratio'!I24</f>
        <v>3.2235511799396696E-2</v>
      </c>
      <c r="J15" s="164">
        <f t="shared" si="0"/>
        <v>3.0555983882919167</v>
      </c>
      <c r="K15" s="164">
        <f t="shared" si="1"/>
        <v>0.20389441124019728</v>
      </c>
      <c r="L15" s="164">
        <f t="shared" si="1"/>
        <v>-1.0433495568178301</v>
      </c>
      <c r="M15" s="164">
        <f t="shared" si="1"/>
        <v>-1.0681435406335937</v>
      </c>
      <c r="N15" s="164">
        <f t="shared" si="1"/>
        <v>4.9631970745031433</v>
      </c>
      <c r="O15" s="355" t="str">
        <f t="shared" si="2"/>
        <v>Up</v>
      </c>
      <c r="P15" s="158" t="str">
        <f t="array" ref="P15">IF(COUNT(K15:N15)&lt;2,"n/a",
IF(OR(COUNTIF(K15:N15,"&gt;0")=COUNT(K15:N15),COUNTIF(K15:N15,"&lt;0")=COUNT(K15:N15)),
 IF(COUNTIF(K15:N15,"&gt;0")=COUNT(K15:N15),"Persistent rise – ","Persistent decline – ")&amp;
 IF(ABS(N15)&gt;1.25*SUMPRODUCT(ABS(IFERROR(K15:M15*1,0)))/COUNT(K15:M15),"accelerating",
 IF(ABS(N15)&lt;0.75*SUMPRODUCT(ABS(IFERROR(K15:M15*1,0)))/COUNT(K15:M15),"decelerating","steady pace")),
 IF(SUMPRODUCT(--(IFERROR(K15:M15*L15:N15,0)&lt;0))=1,
   IF(INDEX(K15:N15,MATCH(TRUE,INDEX(ISNUMBER(K15:N15),0),0))&gt;0,"Reversing – peak ","Reversing – trough ")&amp;
   INDEX($E$4:$I$4,MATCH(IF(INDEX(K15:N15,MATCH(TRUE,INDEX(ISNUMBER(K15:N15),0),0))&gt;0,MAX(E15:I15),MIN(E15:I15)),E15:I15,0)),
   "Volatile – direction changed "&amp;SUMPRODUCT(--(IFERROR(K15:M15*L15:N15,0)&lt;0))&amp;"x")))</f>
        <v>Volatile – direction changed 2x</v>
      </c>
    </row>
    <row r="16" spans="2:19" ht="14.5" customHeight="1" x14ac:dyDescent="0.35">
      <c r="B16" s="157" t="s">
        <v>233</v>
      </c>
      <c r="C16" s="157"/>
      <c r="D16" s="162"/>
      <c r="E16" s="321">
        <f>WACC!E22</f>
        <v>0.13113383343685794</v>
      </c>
      <c r="F16" s="321">
        <f>WACC!F22</f>
        <v>0.18978625253328257</v>
      </c>
      <c r="G16" s="321">
        <f>WACC!G22</f>
        <v>0.18231326597827197</v>
      </c>
      <c r="H16" s="321">
        <f>WACC!H22</f>
        <v>0.17629644009803683</v>
      </c>
      <c r="I16" s="321">
        <f>WACC!I22</f>
        <v>0.19396265985271252</v>
      </c>
      <c r="J16" s="164">
        <f t="shared" si="0"/>
        <v>6.2828826415854575</v>
      </c>
      <c r="K16" s="164">
        <f t="shared" si="1"/>
        <v>5.8652419096424628</v>
      </c>
      <c r="L16" s="164">
        <f t="shared" si="1"/>
        <v>-0.74729865550106078</v>
      </c>
      <c r="M16" s="164">
        <f t="shared" si="1"/>
        <v>-0.60168258802351382</v>
      </c>
      <c r="N16" s="164">
        <f t="shared" si="1"/>
        <v>1.7666219754675694</v>
      </c>
      <c r="O16" s="355" t="str">
        <f t="shared" si="2"/>
        <v>Up</v>
      </c>
      <c r="P16" s="158" t="str">
        <f t="array" ref="P16">IF(COUNT(K16:N16)&lt;2,"n/a",
IF(OR(COUNTIF(K16:N16,"&gt;0")=COUNT(K16:N16),COUNTIF(K16:N16,"&lt;0")=COUNT(K16:N16)),
 IF(COUNTIF(K16:N16,"&gt;0")=COUNT(K16:N16),"Persistent rise – ","Persistent decline – ")&amp;
 IF(ABS(N16)&gt;1.25*SUMPRODUCT(ABS(IFERROR(K16:M16*1,0)))/COUNT(K16:M16),"accelerating",
 IF(ABS(N16)&lt;0.75*SUMPRODUCT(ABS(IFERROR(K16:M16*1,0)))/COUNT(K16:M16),"decelerating","steady pace")),
 IF(SUMPRODUCT(--(IFERROR(K16:M16*L16:N16,0)&lt;0))=1,
   IF(INDEX(K16:N16,MATCH(TRUE,INDEX(ISNUMBER(K16:N16),0),0))&gt;0,"Reversing – peak ","Reversing – trough ")&amp;
   INDEX($E$4:$I$4,MATCH(IF(INDEX(K16:N16,MATCH(TRUE,INDEX(ISNUMBER(K16:N16),0),0))&gt;0,MAX(E16:I16),MIN(E16:I16)),E16:I16,0)),
   "Volatile – direction changed "&amp;SUMPRODUCT(--(IFERROR(K16:M16*L16:N16,0)&lt;0))&amp;"x")))</f>
        <v>Volatile – direction changed 2x</v>
      </c>
    </row>
    <row r="17" spans="2:16" ht="14.5" customHeight="1" x14ac:dyDescent="0.35">
      <c r="K17" s="158"/>
      <c r="L17" s="158"/>
      <c r="M17" s="158"/>
      <c r="N17" s="158"/>
      <c r="P17" s="158"/>
    </row>
    <row r="18" spans="2:16" ht="14.5" customHeight="1" x14ac:dyDescent="0.35">
      <c r="B18" s="159" t="s">
        <v>234</v>
      </c>
      <c r="C18" s="159"/>
      <c r="D18" s="159"/>
      <c r="K18" s="158"/>
      <c r="L18" s="158"/>
      <c r="M18" s="158"/>
      <c r="N18" s="158"/>
      <c r="P18" s="158"/>
    </row>
    <row r="19" spans="2:16" ht="14.5" customHeight="1" x14ac:dyDescent="0.35">
      <c r="B19" s="157" t="s">
        <v>235</v>
      </c>
      <c r="C19" s="157"/>
      <c r="D19" s="162"/>
      <c r="E19" s="41">
        <f>'Fin Statement'!E9</f>
        <v>198270</v>
      </c>
      <c r="F19" s="41">
        <f>'Fin Statement'!F9</f>
        <v>211915</v>
      </c>
      <c r="G19" s="41">
        <f>'Fin Statement'!G9</f>
        <v>245122</v>
      </c>
      <c r="H19" s="41">
        <f>'Fin Statement'!H9</f>
        <v>281724</v>
      </c>
      <c r="I19" s="41">
        <f>'Fin Statement'!I9</f>
        <v>331839</v>
      </c>
      <c r="J19" s="7">
        <f>(I19-E19)</f>
        <v>133569</v>
      </c>
      <c r="K19" s="7">
        <f t="shared" ref="K19:N20" si="3">(F19-E19)</f>
        <v>13645</v>
      </c>
      <c r="L19" s="7">
        <f t="shared" si="3"/>
        <v>33207</v>
      </c>
      <c r="M19" s="7">
        <f t="shared" si="3"/>
        <v>36602</v>
      </c>
      <c r="N19" s="7">
        <f t="shared" si="3"/>
        <v>50115</v>
      </c>
      <c r="O19" s="355" t="str">
        <f t="shared" ref="O19:O28" si="4">IF(J19&gt;0,"Up",IF(J19&lt;0,"Down","Flat"))</f>
        <v>Up</v>
      </c>
      <c r="P19" s="158" t="str">
        <f t="array" ref="P19">IF(COUNT(K19:N19)&lt;2,"n/a",
IF(OR(COUNTIF(K19:N19,"&gt;0")=COUNT(K19:N19),COUNTIF(K19:N19,"&lt;0")=COUNT(K19:N19)),
 IF(COUNTIF(K19:N19,"&gt;0")=COUNT(K19:N19),"Persistent rise – ","Persistent decline – ")&amp;
 IF(ABS(N19)&gt;1.25*SUMPRODUCT(ABS(IFERROR(K19:M19*1,0)))/COUNT(K19:M19),"accelerating",
 IF(ABS(N19)&lt;0.75*SUMPRODUCT(ABS(IFERROR(K19:M19*1,0)))/COUNT(K19:M19),"decelerating","steady pace")),
 IF(SUMPRODUCT(--(IFERROR(K19:M19*L19:N19,0)&lt;0))=1,
   IF(INDEX(K19:N19,MATCH(TRUE,INDEX(ISNUMBER(K19:N19),0),0))&gt;0,"Reversing – peak ","Reversing – trough ")&amp;
   INDEX($E$4:$I$4,MATCH(IF(INDEX(K19:N19,MATCH(TRUE,INDEX(ISNUMBER(K19:N19),0),0))&gt;0,MAX(E19:I19),MIN(E19:I19)),E19:I19,0)),
   "Volatile – direction changed "&amp;SUMPRODUCT(--(IFERROR(K19:M19*L19:N19,0)&lt;0))&amp;"x")))</f>
        <v>Persistent rise – accelerating</v>
      </c>
    </row>
    <row r="20" spans="2:16" ht="14.5" customHeight="1" x14ac:dyDescent="0.35">
      <c r="B20" s="157" t="s">
        <v>236</v>
      </c>
      <c r="C20" s="157"/>
      <c r="D20" s="162"/>
      <c r="E20" s="41">
        <f>ABS('Fin Statement'!E82)</f>
        <v>23886</v>
      </c>
      <c r="F20" s="41">
        <f>ABS('Fin Statement'!F82)</f>
        <v>28107</v>
      </c>
      <c r="G20" s="41">
        <f>ABS('Fin Statement'!G82)</f>
        <v>44477</v>
      </c>
      <c r="H20" s="41">
        <f>ABS('Fin Statement'!H82)</f>
        <v>64551</v>
      </c>
      <c r="I20" s="41">
        <f>ABS('Fin Statement'!I82)</f>
        <v>115948</v>
      </c>
      <c r="J20" s="7">
        <f>(I20-E20)</f>
        <v>92062</v>
      </c>
      <c r="K20" s="7">
        <f t="shared" si="3"/>
        <v>4221</v>
      </c>
      <c r="L20" s="7">
        <f t="shared" si="3"/>
        <v>16370</v>
      </c>
      <c r="M20" s="7">
        <f t="shared" si="3"/>
        <v>20074</v>
      </c>
      <c r="N20" s="7">
        <f t="shared" si="3"/>
        <v>51397</v>
      </c>
      <c r="O20" s="355" t="str">
        <f t="shared" si="4"/>
        <v>Up</v>
      </c>
      <c r="P20" s="158" t="str">
        <f t="array" ref="P20">IF(COUNT(K20:N20)&lt;2,"n/a",
IF(OR(COUNTIF(K20:N20,"&gt;0")=COUNT(K20:N20),COUNTIF(K20:N20,"&lt;0")=COUNT(K20:N20)),
 IF(COUNTIF(K20:N20,"&gt;0")=COUNT(K20:N20),"Persistent rise – ","Persistent decline – ")&amp;
 IF(ABS(N20)&gt;1.25*SUMPRODUCT(ABS(IFERROR(K20:M20*1,0)))/COUNT(K20:M20),"accelerating",
 IF(ABS(N20)&lt;0.75*SUMPRODUCT(ABS(IFERROR(K20:M20*1,0)))/COUNT(K20:M20),"decelerating","steady pace")),
 IF(SUMPRODUCT(--(IFERROR(K20:M20*L20:N20,0)&lt;0))=1,
   IF(INDEX(K20:N20,MATCH(TRUE,INDEX(ISNUMBER(K20:N20),0),0))&gt;0,"Reversing – peak ","Reversing – trough ")&amp;
   INDEX($E$4:$I$4,MATCH(IF(INDEX(K20:N20,MATCH(TRUE,INDEX(ISNUMBER(K20:N20),0),0))&gt;0,MAX(E20:I20),MIN(E20:I20)),E20:I20,0)),
   "Volatile – direction changed "&amp;SUMPRODUCT(--(IFERROR(K20:M20*L20:N20,0)&lt;0))&amp;"x")))</f>
        <v>Persistent rise – accelerating</v>
      </c>
    </row>
    <row r="21" spans="2:16" ht="14.5" customHeight="1" x14ac:dyDescent="0.35">
      <c r="B21" s="157" t="s">
        <v>147</v>
      </c>
      <c r="C21" s="157"/>
      <c r="D21" s="162"/>
      <c r="E21" s="321">
        <f>'Common Size&amp;Ratio'!E171</f>
        <v>0.12047208352246935</v>
      </c>
      <c r="F21" s="321">
        <f>'Common Size&amp;Ratio'!F171</f>
        <v>0.13263336715192411</v>
      </c>
      <c r="G21" s="321">
        <f>'Common Size&amp;Ratio'!G171</f>
        <v>0.18144842160230415</v>
      </c>
      <c r="H21" s="321">
        <f>'Common Size&amp;Ratio'!H171</f>
        <v>0.22912850875324786</v>
      </c>
      <c r="I21" s="321">
        <f>'Common Size&amp;Ratio'!I171</f>
        <v>0.34941040685392616</v>
      </c>
      <c r="J21" s="164">
        <f>(I21-E21)*100</f>
        <v>22.893832333145681</v>
      </c>
      <c r="K21" s="164">
        <f t="shared" ref="K21:N22" si="5">(F21-E21)*100</f>
        <v>1.2161283629454762</v>
      </c>
      <c r="L21" s="164">
        <f t="shared" si="5"/>
        <v>4.8815054450380035</v>
      </c>
      <c r="M21" s="164">
        <f t="shared" si="5"/>
        <v>4.7680087150943713</v>
      </c>
      <c r="N21" s="164">
        <f t="shared" si="5"/>
        <v>12.028189810067829</v>
      </c>
      <c r="O21" s="355" t="str">
        <f t="shared" si="4"/>
        <v>Up</v>
      </c>
      <c r="P21" s="158" t="str">
        <f t="array" ref="P21">IF(COUNT(K21:N21)&lt;2,"n/a",
IF(OR(COUNTIF(K21:N21,"&gt;0")=COUNT(K21:N21),COUNTIF(K21:N21,"&lt;0")=COUNT(K21:N21)),
 IF(COUNTIF(K21:N21,"&gt;0")=COUNT(K21:N21),"Persistent rise – ","Persistent decline – ")&amp;
 IF(ABS(N21)&gt;1.25*SUMPRODUCT(ABS(IFERROR(K21:M21*1,0)))/COUNT(K21:M21),"accelerating",
 IF(ABS(N21)&lt;0.75*SUMPRODUCT(ABS(IFERROR(K21:M21*1,0)))/COUNT(K21:M21),"decelerating","steady pace")),
 IF(SUMPRODUCT(--(IFERROR(K21:M21*L21:N21,0)&lt;0))=1,
   IF(INDEX(K21:N21,MATCH(TRUE,INDEX(ISNUMBER(K21:N21),0),0))&gt;0,"Reversing – peak ","Reversing – trough ")&amp;
   INDEX($E$4:$I$4,MATCH(IF(INDEX(K21:N21,MATCH(TRUE,INDEX(ISNUMBER(K21:N21),0),0))&gt;0,MAX(E21:I21),MIN(E21:I21)),E21:I21,0)),
   "Volatile – direction changed "&amp;SUMPRODUCT(--(IFERROR(K21:M21*L21:N21,0)&lt;0))&amp;"x")))</f>
        <v>Persistent rise – accelerating</v>
      </c>
    </row>
    <row r="22" spans="2:16" ht="14.5" customHeight="1" x14ac:dyDescent="0.35">
      <c r="B22" s="157" t="s">
        <v>149</v>
      </c>
      <c r="C22" s="157"/>
      <c r="D22" s="162"/>
      <c r="E22" s="321">
        <f>'Common Size&amp;Ratio'!E173</f>
        <v>0.26827652046947831</v>
      </c>
      <c r="F22" s="321">
        <f>'Common Size&amp;Ratio'!F173</f>
        <v>0.32092210728231829</v>
      </c>
      <c r="G22" s="321">
        <f>'Common Size&amp;Ratio'!G173</f>
        <v>0.37518136113641731</v>
      </c>
      <c r="H22" s="321">
        <f>'Common Size&amp;Ratio'!H173</f>
        <v>0.47407499889837107</v>
      </c>
      <c r="I22" s="321">
        <f>'Common Size&amp;Ratio'!I173</f>
        <v>0.63382075600623167</v>
      </c>
      <c r="J22" s="164">
        <f>(I22-E22)*100</f>
        <v>36.554423553675335</v>
      </c>
      <c r="K22" s="164">
        <f t="shared" si="5"/>
        <v>5.2645586812839982</v>
      </c>
      <c r="L22" s="164">
        <f t="shared" si="5"/>
        <v>5.4259253854099025</v>
      </c>
      <c r="M22" s="164">
        <f t="shared" si="5"/>
        <v>9.8893637761953759</v>
      </c>
      <c r="N22" s="164">
        <f t="shared" si="5"/>
        <v>15.974575710786059</v>
      </c>
      <c r="O22" s="355" t="str">
        <f t="shared" si="4"/>
        <v>Up</v>
      </c>
      <c r="P22" s="158" t="str">
        <f t="array" ref="P22">IF(COUNT(K22:N22)&lt;2,"n/a",
IF(OR(COUNTIF(K22:N22,"&gt;0")=COUNT(K22:N22),COUNTIF(K22:N22,"&lt;0")=COUNT(K22:N22)),
 IF(COUNTIF(K22:N22,"&gt;0")=COUNT(K22:N22),"Persistent rise – ","Persistent decline – ")&amp;
 IF(ABS(N22)&gt;1.25*SUMPRODUCT(ABS(IFERROR(K22:M22*1,0)))/COUNT(K22:M22),"accelerating",
 IF(ABS(N22)&lt;0.75*SUMPRODUCT(ABS(IFERROR(K22:M22*1,0)))/COUNT(K22:M22),"decelerating","steady pace")),
 IF(SUMPRODUCT(--(IFERROR(K22:M22*L22:N22,0)&lt;0))=1,
   IF(INDEX(K22:N22,MATCH(TRUE,INDEX(ISNUMBER(K22:N22),0),0))&gt;0,"Reversing – peak ","Reversing – trough ")&amp;
   INDEX($E$4:$I$4,MATCH(IF(INDEX(K22:N22,MATCH(TRUE,INDEX(ISNUMBER(K22:N22),0),0))&gt;0,MAX(E22:I22),MIN(E22:I22)),E22:I22,0)),
   "Volatile – direction changed "&amp;SUMPRODUCT(--(IFERROR(K22:M22*L22:N22,0)&lt;0))&amp;"x")))</f>
        <v>Persistent rise – accelerating</v>
      </c>
    </row>
    <row r="23" spans="2:16" ht="14.5" customHeight="1" x14ac:dyDescent="0.35">
      <c r="B23" s="157" t="s">
        <v>148</v>
      </c>
      <c r="C23" s="157"/>
      <c r="D23" s="162"/>
      <c r="E23" s="322">
        <f>'Common Size&amp;Ratio'!E172</f>
        <v>1.6518672199170124</v>
      </c>
      <c r="F23" s="322">
        <f>'Common Size&amp;Ratio'!F172</f>
        <v>2.0277757737536972</v>
      </c>
      <c r="G23" s="322">
        <f>'Common Size&amp;Ratio'!G172</f>
        <v>2.1221967745013837</v>
      </c>
      <c r="H23" s="322">
        <f>'Common Size&amp;Ratio'!H172</f>
        <v>2.1931505453062887</v>
      </c>
      <c r="I23" s="322">
        <f>'Common Size&amp;Ratio'!I172</f>
        <v>3.0089790834068615</v>
      </c>
      <c r="J23" s="166">
        <f>(I23-E23)</f>
        <v>1.3571118634898491</v>
      </c>
      <c r="K23" s="167">
        <f t="shared" ref="K23:N24" si="6">(F23-E23)</f>
        <v>0.37590855383668487</v>
      </c>
      <c r="L23" s="167">
        <f t="shared" si="6"/>
        <v>9.4421000747686445E-2</v>
      </c>
      <c r="M23" s="167">
        <f t="shared" si="6"/>
        <v>7.0953770804905059E-2</v>
      </c>
      <c r="N23" s="167">
        <f t="shared" si="6"/>
        <v>0.81582853810057276</v>
      </c>
      <c r="O23" s="355" t="str">
        <f t="shared" si="4"/>
        <v>Up</v>
      </c>
      <c r="P23" s="158" t="str">
        <f t="array" ref="P23">IF(COUNT(K23:N23)&lt;2,"n/a",
IF(OR(COUNTIF(K23:N23,"&gt;0")=COUNT(K23:N23),COUNTIF(K23:N23,"&lt;0")=COUNT(K23:N23)),
 IF(COUNTIF(K23:N23,"&gt;0")=COUNT(K23:N23),"Persistent rise – ","Persistent decline – ")&amp;
 IF(ABS(N23)&gt;1.25*SUMPRODUCT(ABS(IFERROR(K23:M23*1,0)))/COUNT(K23:M23),"accelerating",
 IF(ABS(N23)&lt;0.75*SUMPRODUCT(ABS(IFERROR(K23:M23*1,0)))/COUNT(K23:M23),"decelerating","steady pace")),
 IF(SUMPRODUCT(--(IFERROR(K23:M23*L23:N23,0)&lt;0))=1,
   IF(INDEX(K23:N23,MATCH(TRUE,INDEX(ISNUMBER(K23:N23),0),0))&gt;0,"Reversing – peak ","Reversing – trough ")&amp;
   INDEX($E$4:$I$4,MATCH(IF(INDEX(K23:N23,MATCH(TRUE,INDEX(ISNUMBER(K23:N23),0),0))&gt;0,MAX(E23:I23),MIN(E23:I23)),E23:I23,0)),
   "Volatile – direction changed "&amp;SUMPRODUCT(--(IFERROR(K23:M23*L23:N23,0)&lt;0))&amp;"x")))</f>
        <v>Persistent rise – accelerating</v>
      </c>
    </row>
    <row r="24" spans="2:16" ht="14.5" customHeight="1" x14ac:dyDescent="0.35">
      <c r="B24" s="157" t="s">
        <v>237</v>
      </c>
      <c r="C24" s="157"/>
      <c r="D24" s="162"/>
      <c r="E24" s="41">
        <f>'Fin Statement'!E104</f>
        <v>74398</v>
      </c>
      <c r="F24" s="41">
        <f>'Fin Statement'!F104</f>
        <v>95641</v>
      </c>
      <c r="G24" s="41">
        <f>'Fin Statement'!G104</f>
        <v>135591</v>
      </c>
      <c r="H24" s="41">
        <f>'Fin Statement'!H104</f>
        <v>204966</v>
      </c>
      <c r="I24" s="41">
        <f>'Fin Statement'!I104</f>
        <v>313076</v>
      </c>
      <c r="J24" s="7">
        <f>(I24-E24)</f>
        <v>238678</v>
      </c>
      <c r="K24" s="7">
        <f t="shared" si="6"/>
        <v>21243</v>
      </c>
      <c r="L24" s="7">
        <f t="shared" si="6"/>
        <v>39950</v>
      </c>
      <c r="M24" s="7">
        <f t="shared" si="6"/>
        <v>69375</v>
      </c>
      <c r="N24" s="7">
        <f t="shared" si="6"/>
        <v>108110</v>
      </c>
      <c r="O24" s="355" t="str">
        <f t="shared" si="4"/>
        <v>Up</v>
      </c>
      <c r="P24" s="158" t="str">
        <f t="array" ref="P24">IF(COUNT(K24:N24)&lt;2,"n/a",
IF(OR(COUNTIF(K24:N24,"&gt;0")=COUNT(K24:N24),COUNTIF(K24:N24,"&lt;0")=COUNT(K24:N24)),
 IF(COUNTIF(K24:N24,"&gt;0")=COUNT(K24:N24),"Persistent rise – ","Persistent decline – ")&amp;
 IF(ABS(N24)&gt;1.25*SUMPRODUCT(ABS(IFERROR(K24:M24*1,0)))/COUNT(K24:M24),"accelerating",
 IF(ABS(N24)&lt;0.75*SUMPRODUCT(ABS(IFERROR(K24:M24*1,0)))/COUNT(K24:M24),"decelerating","steady pace")),
 IF(SUMPRODUCT(--(IFERROR(K24:M24*L24:N24,0)&lt;0))=1,
   IF(INDEX(K24:N24,MATCH(TRUE,INDEX(ISNUMBER(K24:N24),0),0))&gt;0,"Reversing – peak ","Reversing – trough ")&amp;
   INDEX($E$4:$I$4,MATCH(IF(INDEX(K24:N24,MATCH(TRUE,INDEX(ISNUMBER(K24:N24),0),0))&gt;0,MAX(E24:I24),MIN(E24:I24)),E24:I24,0)),
   "Volatile – direction changed "&amp;SUMPRODUCT(--(IFERROR(K24:M24*L24:N24,0)&lt;0))&amp;"x")))</f>
        <v>Persistent rise – accelerating</v>
      </c>
    </row>
    <row r="25" spans="2:16" ht="14.5" customHeight="1" x14ac:dyDescent="0.35">
      <c r="B25" s="157" t="s">
        <v>238</v>
      </c>
      <c r="C25" s="157"/>
      <c r="D25" s="162"/>
      <c r="E25" s="321">
        <f>'Common Size&amp;Ratio'!E101</f>
        <v>0.20391952636772284</v>
      </c>
      <c r="F25" s="321">
        <f>'Common Size&amp;Ratio'!F101</f>
        <v>0.23215187292463638</v>
      </c>
      <c r="G25" s="321">
        <f>'Common Size&amp;Ratio'!G101</f>
        <v>0.26474188881274124</v>
      </c>
      <c r="H25" s="321">
        <f>'Common Size&amp;Ratio'!H101</f>
        <v>0.33112278938874284</v>
      </c>
      <c r="I25" s="321">
        <f>'Common Size&amp;Ratio'!I101</f>
        <v>0.41282424549300084</v>
      </c>
      <c r="J25" s="164">
        <f>(I25-E25)*100</f>
        <v>20.890471912527801</v>
      </c>
      <c r="K25" s="164">
        <f>(F25-E25)*100</f>
        <v>2.8232346556913535</v>
      </c>
      <c r="L25" s="164">
        <f>(G25-F25)*100</f>
        <v>3.2590015888104866</v>
      </c>
      <c r="M25" s="164">
        <f>(H25-G25)*100</f>
        <v>6.6380900576001602</v>
      </c>
      <c r="N25" s="164">
        <f>(I25-H25)*100</f>
        <v>8.1701456104258003</v>
      </c>
      <c r="O25" s="355" t="str">
        <f t="shared" si="4"/>
        <v>Up</v>
      </c>
      <c r="P25" s="158" t="str">
        <f t="array" ref="P25">IF(COUNT(K25:N25)&lt;2,"n/a",
IF(OR(COUNTIF(K25:N25,"&gt;0")=COUNT(K25:N25),COUNTIF(K25:N25,"&lt;0")=COUNT(K25:N25)),
 IF(COUNTIF(K25:N25,"&gt;0")=COUNT(K25:N25),"Persistent rise – ","Persistent decline – ")&amp;
 IF(ABS(N25)&gt;1.25*SUMPRODUCT(ABS(IFERROR(K25:M25*1,0)))/COUNT(K25:M25),"accelerating",
 IF(ABS(N25)&lt;0.75*SUMPRODUCT(ABS(IFERROR(K25:M25*1,0)))/COUNT(K25:M25),"decelerating","steady pace")),
 IF(SUMPRODUCT(--(IFERROR(K25:M25*L25:N25,0)&lt;0))=1,
   IF(INDEX(K25:N25,MATCH(TRUE,INDEX(ISNUMBER(K25:N25),0),0))&gt;0,"Reversing – peak ","Reversing – trough ")&amp;
   INDEX($E$4:$I$4,MATCH(IF(INDEX(K25:N25,MATCH(TRUE,INDEX(ISNUMBER(K25:N25),0),0))&gt;0,MAX(E25:I25),MIN(E25:I25)),E25:I25,0)),
   "Volatile – direction changed "&amp;SUMPRODUCT(--(IFERROR(K25:M25*L25:N25,0)&lt;0))&amp;"x")))</f>
        <v>Persistent rise – accelerating</v>
      </c>
    </row>
    <row r="26" spans="2:16" ht="14.5" customHeight="1" x14ac:dyDescent="0.35">
      <c r="B26" s="157" t="s">
        <v>239</v>
      </c>
      <c r="C26" s="157"/>
      <c r="D26" s="162"/>
      <c r="E26" s="41">
        <f>'Fin Statement'!E21</f>
        <v>14460</v>
      </c>
      <c r="F26" s="41">
        <f>'Fin Statement'!F21</f>
        <v>13861</v>
      </c>
      <c r="G26" s="41">
        <f>'Fin Statement'!G21</f>
        <v>20958</v>
      </c>
      <c r="H26" s="41">
        <f>'Fin Statement'!H21</f>
        <v>29433</v>
      </c>
      <c r="I26" s="41">
        <f>'Fin Statement'!I21</f>
        <v>38534</v>
      </c>
      <c r="J26" s="7">
        <f>(I26-E26)</f>
        <v>24074</v>
      </c>
      <c r="K26" s="7">
        <f>(F26-E26)</f>
        <v>-599</v>
      </c>
      <c r="L26" s="7">
        <f>(G26-F26)</f>
        <v>7097</v>
      </c>
      <c r="M26" s="7">
        <f>(H26-G26)</f>
        <v>8475</v>
      </c>
      <c r="N26" s="7">
        <f>(I26-H26)</f>
        <v>9101</v>
      </c>
      <c r="O26" s="355" t="str">
        <f t="shared" si="4"/>
        <v>Up</v>
      </c>
      <c r="P26" s="158" t="str">
        <f t="array" ref="P26">IF(COUNT(K26:N26)&lt;2,"n/a",
IF(OR(COUNTIF(K26:N26,"&gt;0")=COUNT(K26:N26),COUNTIF(K26:N26,"&lt;0")=COUNT(K26:N26)),
 IF(COUNTIF(K26:N26,"&gt;0")=COUNT(K26:N26),"Persistent rise – ","Persistent decline – ")&amp;
 IF(ABS(N26)&gt;1.25*SUMPRODUCT(ABS(IFERROR(K26:M26*1,0)))/COUNT(K26:M26),"accelerating",
 IF(ABS(N26)&lt;0.75*SUMPRODUCT(ABS(IFERROR(K26:M26*1,0)))/COUNT(K26:M26),"decelerating","steady pace")),
 IF(SUMPRODUCT(--(IFERROR(K26:M26*L26:N26,0)&lt;0))=1,
   IF(INDEX(K26:N26,MATCH(TRUE,INDEX(ISNUMBER(K26:N26),0),0))&gt;0,"Reversing – peak ","Reversing – trough ")&amp;
   INDEX($E$4:$I$4,MATCH(IF(INDEX(K26:N26,MATCH(TRUE,INDEX(ISNUMBER(K26:N26),0),0))&gt;0,MAX(E26:I26),MIN(E26:I26)),E26:I26,0)),
   "Volatile – direction changed "&amp;SUMPRODUCT(--(IFERROR(K26:M26*L26:N26,0)&lt;0))&amp;"x")))</f>
        <v>Reversing – trough 2023</v>
      </c>
    </row>
    <row r="27" spans="2:16" ht="14.5" customHeight="1" x14ac:dyDescent="0.35">
      <c r="B27" s="157" t="s">
        <v>150</v>
      </c>
      <c r="C27" s="157"/>
      <c r="D27" s="162"/>
      <c r="E27" s="321">
        <f>'Common Size&amp;Ratio'!E174</f>
        <v>7.2930851868663937E-2</v>
      </c>
      <c r="F27" s="321">
        <f>'Common Size&amp;Ratio'!F174</f>
        <v>6.5408300497841118E-2</v>
      </c>
      <c r="G27" s="321">
        <f>'Common Size&amp;Ratio'!G174</f>
        <v>8.5500281492481289E-2</v>
      </c>
      <c r="H27" s="321">
        <f>'Common Size&amp;Ratio'!H174</f>
        <v>0.10447459215402309</v>
      </c>
      <c r="I27" s="321">
        <f>'Common Size&amp;Ratio'!I174</f>
        <v>0.11612257751499974</v>
      </c>
      <c r="J27" s="164">
        <f>(I27-E27)*100</f>
        <v>4.3191725646335808</v>
      </c>
      <c r="K27" s="164">
        <f>(F27-E27)*100</f>
        <v>-0.75225513708228187</v>
      </c>
      <c r="L27" s="164">
        <f>(G27-F27)*100</f>
        <v>2.0091980994640171</v>
      </c>
      <c r="M27" s="164">
        <f>(H27-G27)*100</f>
        <v>1.8974310661541802</v>
      </c>
      <c r="N27" s="164">
        <f>(I27-H27)*100</f>
        <v>1.1647985360976651</v>
      </c>
      <c r="O27" s="355" t="str">
        <f t="shared" si="4"/>
        <v>Up</v>
      </c>
      <c r="P27" s="158" t="str">
        <f t="array" ref="P27">IF(COUNT(K27:N27)&lt;2,"n/a",
IF(OR(COUNTIF(K27:N27,"&gt;0")=COUNT(K27:N27),COUNTIF(K27:N27,"&lt;0")=COUNT(K27:N27)),
 IF(COUNTIF(K27:N27,"&gt;0")=COUNT(K27:N27),"Persistent rise – ","Persistent decline – ")&amp;
 IF(ABS(N27)&gt;1.25*SUMPRODUCT(ABS(IFERROR(K27:M27*1,0)))/COUNT(K27:M27),"accelerating",
 IF(ABS(N27)&lt;0.75*SUMPRODUCT(ABS(IFERROR(K27:M27*1,0)))/COUNT(K27:M27),"decelerating","steady pace")),
 IF(SUMPRODUCT(--(IFERROR(K27:M27*L27:N27,0)&lt;0))=1,
   IF(INDEX(K27:N27,MATCH(TRUE,INDEX(ISNUMBER(K27:N27),0),0))&gt;0,"Reversing – peak ","Reversing – trough ")&amp;
   INDEX($E$4:$I$4,MATCH(IF(INDEX(K27:N27,MATCH(TRUE,INDEX(ISNUMBER(K27:N27),0),0))&gt;0,MAX(E27:I27),MIN(E27:I27)),E27:I27,0)),
   "Volatile – direction changed "&amp;SUMPRODUCT(--(IFERROR(K27:M27*L27:N27,0)&lt;0))&amp;"x")))</f>
        <v>Reversing – trough 2023</v>
      </c>
    </row>
    <row r="28" spans="2:16" ht="14.5" customHeight="1" x14ac:dyDescent="0.35">
      <c r="B28" s="157" t="s">
        <v>240</v>
      </c>
      <c r="C28" s="157"/>
      <c r="D28" s="162"/>
      <c r="E28" s="165">
        <f>E24/E26</f>
        <v>5.1450899031811899</v>
      </c>
      <c r="F28" s="165">
        <f>F24/F26</f>
        <v>6.9000072144866893</v>
      </c>
      <c r="G28" s="165">
        <f>G24/G26</f>
        <v>6.4696535929000856</v>
      </c>
      <c r="H28" s="165">
        <f>H24/H26</f>
        <v>6.9638161247579244</v>
      </c>
      <c r="I28" s="165">
        <f>I24/I26</f>
        <v>8.124669123371568</v>
      </c>
      <c r="J28" s="166">
        <f>(I28-E28)</f>
        <v>2.9795792201903781</v>
      </c>
      <c r="K28" s="166">
        <f>(F28-E28)</f>
        <v>1.7549173113054994</v>
      </c>
      <c r="L28" s="166">
        <f>(G28-F28)</f>
        <v>-0.43035362158660373</v>
      </c>
      <c r="M28" s="166">
        <f>(H28-G28)</f>
        <v>0.49416253185783887</v>
      </c>
      <c r="N28" s="166">
        <f>(I28-H28)</f>
        <v>1.1608529986136435</v>
      </c>
      <c r="O28" s="355" t="str">
        <f t="shared" si="4"/>
        <v>Up</v>
      </c>
      <c r="P28" s="158" t="str">
        <f t="array" ref="P28">IF(COUNT(K28:N28)&lt;2,"n/a",
IF(OR(COUNTIF(K28:N28,"&gt;0")=COUNT(K28:N28),COUNTIF(K28:N28,"&lt;0")=COUNT(K28:N28)),
 IF(COUNTIF(K28:N28,"&gt;0")=COUNT(K28:N28),"Persistent rise – ","Persistent decline – ")&amp;
 IF(ABS(N28)&gt;1.25*SUMPRODUCT(ABS(IFERROR(K28:M28*1,0)))/COUNT(K28:M28),"accelerating",
 IF(ABS(N28)&lt;0.75*SUMPRODUCT(ABS(IFERROR(K28:M28*1,0)))/COUNT(K28:M28),"decelerating","steady pace")),
 IF(SUMPRODUCT(--(IFERROR(K28:M28*L28:N28,0)&lt;0))=1,
   IF(INDEX(K28:N28,MATCH(TRUE,INDEX(ISNUMBER(K28:N28),0),0))&gt;0,"Reversing – peak ","Reversing – trough ")&amp;
   INDEX($E$4:$I$4,MATCH(IF(INDEX(K28:N28,MATCH(TRUE,INDEX(ISNUMBER(K28:N28),0),0))&gt;0,MAX(E28:I28),MIN(E28:I28)),E28:I28,0)),
   "Volatile – direction changed "&amp;SUMPRODUCT(--(IFERROR(K28:M28*L28:N28,0)&lt;0))&amp;"x")))</f>
        <v>Volatile – direction changed 2x</v>
      </c>
    </row>
    <row r="29" spans="2:16" ht="14.5" customHeight="1" x14ac:dyDescent="0.35">
      <c r="J29" s="158"/>
      <c r="K29" s="158"/>
      <c r="L29" s="158"/>
      <c r="M29" s="158"/>
      <c r="N29" s="158"/>
      <c r="P29" s="158"/>
    </row>
    <row r="30" spans="2:16" ht="14.5" customHeight="1" x14ac:dyDescent="0.35">
      <c r="B30" s="159" t="s">
        <v>241</v>
      </c>
      <c r="C30" s="159"/>
      <c r="D30" s="159"/>
      <c r="J30" s="158"/>
      <c r="K30" s="158"/>
      <c r="L30" s="158"/>
      <c r="M30" s="158"/>
      <c r="N30" s="158"/>
      <c r="P30" s="158"/>
    </row>
    <row r="31" spans="2:16" ht="14.5" customHeight="1" x14ac:dyDescent="0.35">
      <c r="B31" s="157" t="s">
        <v>242</v>
      </c>
      <c r="C31" s="157"/>
      <c r="D31" s="162"/>
      <c r="E31" s="41">
        <f>'Fin Statement'!E74</f>
        <v>89035</v>
      </c>
      <c r="F31" s="41">
        <f>'Fin Statement'!F74</f>
        <v>87582</v>
      </c>
      <c r="G31" s="41">
        <f>'Fin Statement'!G74</f>
        <v>118548</v>
      </c>
      <c r="H31" s="41">
        <f>'Fin Statement'!H74</f>
        <v>136162</v>
      </c>
      <c r="I31" s="41">
        <f>'Fin Statement'!I74</f>
        <v>182935</v>
      </c>
      <c r="J31" s="168">
        <f>I31-E31</f>
        <v>93900</v>
      </c>
      <c r="K31" s="168">
        <f>F31-E31</f>
        <v>-1453</v>
      </c>
      <c r="L31" s="168">
        <f>G31-F31</f>
        <v>30966</v>
      </c>
      <c r="M31" s="168">
        <f>H31-G31</f>
        <v>17614</v>
      </c>
      <c r="N31" s="168">
        <f>I31-H31</f>
        <v>46773</v>
      </c>
      <c r="O31" s="355" t="str">
        <f t="shared" ref="O31:O45" si="7">IF(J31&gt;0,"Up",IF(J31&lt;0,"Down","Flat"))</f>
        <v>Up</v>
      </c>
      <c r="P31" s="158" t="str">
        <f t="array" ref="P31">IF(COUNT(K31:N31)&lt;2,"n/a",
IF(OR(COUNTIF(K31:N31,"&gt;0")=COUNT(K31:N31),COUNTIF(K31:N31,"&lt;0")=COUNT(K31:N31)),
 IF(COUNTIF(K31:N31,"&gt;0")=COUNT(K31:N31),"Persistent rise – ","Persistent decline – ")&amp;
 IF(ABS(N31)&gt;1.25*SUMPRODUCT(ABS(IFERROR(K31:M31*1,0)))/COUNT(K31:M31),"accelerating",
 IF(ABS(N31)&lt;0.75*SUMPRODUCT(ABS(IFERROR(K31:M31*1,0)))/COUNT(K31:M31),"decelerating","steady pace")),
 IF(SUMPRODUCT(--(IFERROR(K31:M31*L31:N31,0)&lt;0))=1,
   IF(INDEX(K31:N31,MATCH(TRUE,INDEX(ISNUMBER(K31:N31),0),0))&gt;0,"Reversing – peak ","Reversing – trough ")&amp;
   INDEX($E$4:$I$4,MATCH(IF(INDEX(K31:N31,MATCH(TRUE,INDEX(ISNUMBER(K31:N31),0),0))&gt;0,MAX(E31:I31),MIN(E31:I31)),E31:I31,0)),
   "Volatile – direction changed "&amp;SUMPRODUCT(--(IFERROR(K31:M31*L31:N31,0)&lt;0))&amp;"x")))</f>
        <v>Reversing – trough 2023</v>
      </c>
    </row>
    <row r="32" spans="2:16" ht="14.5" customHeight="1" x14ac:dyDescent="0.35">
      <c r="B32" s="157" t="s">
        <v>243</v>
      </c>
      <c r="C32" s="157"/>
      <c r="D32" s="162"/>
      <c r="E32" s="321">
        <f>'Common Size&amp;Ratio'!E167</f>
        <v>0.44905936349422504</v>
      </c>
      <c r="F32" s="321">
        <f>'Common Size&amp;Ratio'!F167</f>
        <v>0.4132883467427978</v>
      </c>
      <c r="G32" s="321">
        <f>'Common Size&amp;Ratio'!G167</f>
        <v>0.48362856047192826</v>
      </c>
      <c r="H32" s="321">
        <f>'Common Size&amp;Ratio'!H167</f>
        <v>0.48331700529596344</v>
      </c>
      <c r="I32" s="321">
        <f>'Common Size&amp;Ratio'!I167</f>
        <v>0.55127637197556645</v>
      </c>
      <c r="J32" s="164">
        <f>(I32-E32)*100</f>
        <v>10.221700848134141</v>
      </c>
      <c r="K32" s="164">
        <f>(F32-E32)*100</f>
        <v>-3.5771016751427243</v>
      </c>
      <c r="L32" s="164">
        <f>(G32-F32)*100</f>
        <v>7.0340213729130463</v>
      </c>
      <c r="M32" s="164">
        <f>(H32-G32)*100</f>
        <v>-3.1155517596481719E-2</v>
      </c>
      <c r="N32" s="164">
        <f>(I32-H32)*100</f>
        <v>6.7959366679603006</v>
      </c>
      <c r="O32" s="355" t="str">
        <f t="shared" si="7"/>
        <v>Up</v>
      </c>
      <c r="P32" s="158" t="str">
        <f t="array" ref="P32">IF(COUNT(K32:N32)&lt;2,"n/a",
IF(OR(COUNTIF(K32:N32,"&gt;0")=COUNT(K32:N32),COUNTIF(K32:N32,"&lt;0")=COUNT(K32:N32)),
 IF(COUNTIF(K32:N32,"&gt;0")=COUNT(K32:N32),"Persistent rise – ","Persistent decline – ")&amp;
 IF(ABS(N32)&gt;1.25*SUMPRODUCT(ABS(IFERROR(K32:M32*1,0)))/COUNT(K32:M32),"accelerating",
 IF(ABS(N32)&lt;0.75*SUMPRODUCT(ABS(IFERROR(K32:M32*1,0)))/COUNT(K32:M32),"decelerating","steady pace")),
 IF(SUMPRODUCT(--(IFERROR(K32:M32*L32:N32,0)&lt;0))=1,
   IF(INDEX(K32:N32,MATCH(TRUE,INDEX(ISNUMBER(K32:N32),0),0))&gt;0,"Reversing – peak ","Reversing – trough ")&amp;
   INDEX($E$4:$I$4,MATCH(IF(INDEX(K32:N32,MATCH(TRUE,INDEX(ISNUMBER(K32:N32),0),0))&gt;0,MAX(E32:I32),MIN(E32:I32)),E32:I32,0)),
   "Volatile – direction changed "&amp;SUMPRODUCT(--(IFERROR(K32:M32*L32:N32,0)&lt;0))&amp;"x")))</f>
        <v>Volatile – direction changed 3x</v>
      </c>
    </row>
    <row r="33" spans="2:16" ht="14.5" customHeight="1" x14ac:dyDescent="0.35">
      <c r="B33" s="157" t="s">
        <v>244</v>
      </c>
      <c r="C33" s="157"/>
      <c r="D33" s="162"/>
      <c r="E33" s="41">
        <f>'Fin Statement'!E29</f>
        <v>72738</v>
      </c>
      <c r="F33" s="41">
        <f>'Fin Statement'!F29</f>
        <v>72361</v>
      </c>
      <c r="G33" s="41">
        <f>'Fin Statement'!G29</f>
        <v>88136</v>
      </c>
      <c r="H33" s="41">
        <f>'Fin Statement'!H29</f>
        <v>101832</v>
      </c>
      <c r="I33" s="41">
        <f>'Fin Statement'!I29</f>
        <v>133749</v>
      </c>
      <c r="J33" s="168">
        <f>I33-E33</f>
        <v>61011</v>
      </c>
      <c r="K33" s="168">
        <f t="shared" ref="K33:N36" si="8">F33-E33</f>
        <v>-377</v>
      </c>
      <c r="L33" s="168">
        <f t="shared" si="8"/>
        <v>15775</v>
      </c>
      <c r="M33" s="168">
        <f t="shared" si="8"/>
        <v>13696</v>
      </c>
      <c r="N33" s="168">
        <f t="shared" si="8"/>
        <v>31917</v>
      </c>
      <c r="O33" s="355" t="str">
        <f t="shared" si="7"/>
        <v>Up</v>
      </c>
      <c r="P33" s="158" t="str">
        <f t="array" ref="P33">IF(COUNT(K33:N33)&lt;2,"n/a",
IF(OR(COUNTIF(K33:N33,"&gt;0")=COUNT(K33:N33),COUNTIF(K33:N33,"&lt;0")=COUNT(K33:N33)),
 IF(COUNTIF(K33:N33,"&gt;0")=COUNT(K33:N33),"Persistent rise – ","Persistent decline – ")&amp;
 IF(ABS(N33)&gt;1.25*SUMPRODUCT(ABS(IFERROR(K33:M33*1,0)))/COUNT(K33:M33),"accelerating",
 IF(ABS(N33)&lt;0.75*SUMPRODUCT(ABS(IFERROR(K33:M33*1,0)))/COUNT(K33:M33),"decelerating","steady pace")),
 IF(SUMPRODUCT(--(IFERROR(K33:M33*L33:N33,0)&lt;0))=1,
   IF(INDEX(K33:N33,MATCH(TRUE,INDEX(ISNUMBER(K33:N33),0),0))&gt;0,"Reversing – peak ","Reversing – trough ")&amp;
   INDEX($E$4:$I$4,MATCH(IF(INDEX(K33:N33,MATCH(TRUE,INDEX(ISNUMBER(K33:N33),0),0))&gt;0,MAX(E33:I33),MIN(E33:I33)),E33:I33,0)),
   "Volatile – direction changed "&amp;SUMPRODUCT(--(IFERROR(K33:M33*L33:N33,0)&lt;0))&amp;"x")))</f>
        <v>Reversing – trough 2023</v>
      </c>
    </row>
    <row r="34" spans="2:16" ht="14.5" customHeight="1" x14ac:dyDescent="0.35">
      <c r="B34" s="157" t="s">
        <v>146</v>
      </c>
      <c r="C34" s="157"/>
      <c r="D34" s="162"/>
      <c r="E34" s="322">
        <f>'Common Size&amp;Ratio'!E170</f>
        <v>1.224050702521378</v>
      </c>
      <c r="F34" s="322">
        <f>'Common Size&amp;Ratio'!F170</f>
        <v>1.2103481156976825</v>
      </c>
      <c r="G34" s="322">
        <f>'Common Size&amp;Ratio'!G170</f>
        <v>1.3450576381955159</v>
      </c>
      <c r="H34" s="322">
        <f>'Common Size&amp;Ratio'!H170</f>
        <v>1.3371238903291696</v>
      </c>
      <c r="I34" s="322">
        <f>'Common Size&amp;Ratio'!I170</f>
        <v>1.3677485439143471</v>
      </c>
      <c r="J34" s="167">
        <f>I34-E34</f>
        <v>0.14369784139296904</v>
      </c>
      <c r="K34" s="167">
        <f t="shared" si="8"/>
        <v>-1.3702586823695517E-2</v>
      </c>
      <c r="L34" s="167">
        <f t="shared" si="8"/>
        <v>0.13470952249783341</v>
      </c>
      <c r="M34" s="167">
        <f t="shared" si="8"/>
        <v>-7.9337478663463745E-3</v>
      </c>
      <c r="N34" s="167">
        <f t="shared" si="8"/>
        <v>3.0624653585177519E-2</v>
      </c>
      <c r="O34" s="355" t="str">
        <f t="shared" si="7"/>
        <v>Up</v>
      </c>
      <c r="P34" s="158" t="str">
        <f t="array" ref="P34">IF(COUNT(K34:N34)&lt;2,"n/a",
IF(OR(COUNTIF(K34:N34,"&gt;0")=COUNT(K34:N34),COUNTIF(K34:N34,"&lt;0")=COUNT(K34:N34)),
 IF(COUNTIF(K34:N34,"&gt;0")=COUNT(K34:N34),"Persistent rise – ","Persistent decline – ")&amp;
 IF(ABS(N34)&gt;1.25*SUMPRODUCT(ABS(IFERROR(K34:M34*1,0)))/COUNT(K34:M34),"accelerating",
 IF(ABS(N34)&lt;0.75*SUMPRODUCT(ABS(IFERROR(K34:M34*1,0)))/COUNT(K34:M34),"decelerating","steady pace")),
 IF(SUMPRODUCT(--(IFERROR(K34:M34*L34:N34,0)&lt;0))=1,
   IF(INDEX(K34:N34,MATCH(TRUE,INDEX(ISNUMBER(K34:N34),0),0))&gt;0,"Reversing – peak ","Reversing – trough ")&amp;
   INDEX($E$4:$I$4,MATCH(IF(INDEX(K34:N34,MATCH(TRUE,INDEX(ISNUMBER(K34:N34),0),0))&gt;0,MAX(E34:I34),MIN(E34:I34)),E34:I34,0)),
   "Volatile – direction changed "&amp;SUMPRODUCT(--(IFERROR(K34:M34*L34:N34,0)&lt;0))&amp;"x")))</f>
        <v>Volatile – direction changed 3x</v>
      </c>
    </row>
    <row r="35" spans="2:16" ht="14.5" customHeight="1" x14ac:dyDescent="0.35">
      <c r="B35" s="157" t="s">
        <v>236</v>
      </c>
      <c r="C35" s="157"/>
      <c r="D35" s="162"/>
      <c r="E35" s="7">
        <f>E20</f>
        <v>23886</v>
      </c>
      <c r="F35" s="7">
        <f>F20</f>
        <v>28107</v>
      </c>
      <c r="G35" s="7">
        <f>G20</f>
        <v>44477</v>
      </c>
      <c r="H35" s="7">
        <f>H20</f>
        <v>64551</v>
      </c>
      <c r="I35" s="7">
        <f>I20</f>
        <v>115948</v>
      </c>
      <c r="J35" s="168">
        <f>I35-E35</f>
        <v>92062</v>
      </c>
      <c r="K35" s="168">
        <f t="shared" si="8"/>
        <v>4221</v>
      </c>
      <c r="L35" s="168">
        <f t="shared" si="8"/>
        <v>16370</v>
      </c>
      <c r="M35" s="168">
        <f t="shared" si="8"/>
        <v>20074</v>
      </c>
      <c r="N35" s="168">
        <f t="shared" si="8"/>
        <v>51397</v>
      </c>
      <c r="O35" s="355" t="str">
        <f t="shared" si="7"/>
        <v>Up</v>
      </c>
      <c r="P35" s="158" t="str">
        <f t="array" ref="P35">IF(COUNT(K35:N35)&lt;2,"n/a",
IF(OR(COUNTIF(K35:N35,"&gt;0")=COUNT(K35:N35),COUNTIF(K35:N35,"&lt;0")=COUNT(K35:N35)),
 IF(COUNTIF(K35:N35,"&gt;0")=COUNT(K35:N35),"Persistent rise – ","Persistent decline – ")&amp;
 IF(ABS(N35)&gt;1.25*SUMPRODUCT(ABS(IFERROR(K35:M35*1,0)))/COUNT(K35:M35),"accelerating",
 IF(ABS(N35)&lt;0.75*SUMPRODUCT(ABS(IFERROR(K35:M35*1,0)))/COUNT(K35:M35),"decelerating","steady pace")),
 IF(SUMPRODUCT(--(IFERROR(K35:M35*L35:N35,0)&lt;0))=1,
   IF(INDEX(K35:N35,MATCH(TRUE,INDEX(ISNUMBER(K35:N35),0),0))&gt;0,"Reversing – peak ","Reversing – trough ")&amp;
   INDEX($E$4:$I$4,MATCH(IF(INDEX(K35:N35,MATCH(TRUE,INDEX(ISNUMBER(K35:N35),0),0))&gt;0,MAX(E35:I35),MIN(E35:I35)),E35:I35,0)),
   "Volatile – direction changed "&amp;SUMPRODUCT(--(IFERROR(K35:M35*L35:N35,0)&lt;0))&amp;"x")))</f>
        <v>Persistent rise – accelerating</v>
      </c>
    </row>
    <row r="36" spans="2:16" ht="14.5" customHeight="1" x14ac:dyDescent="0.35">
      <c r="B36" s="157" t="s">
        <v>245</v>
      </c>
      <c r="C36" s="157"/>
      <c r="D36" s="162"/>
      <c r="E36" s="41">
        <f>'Common Size&amp;Ratio'!E168</f>
        <v>65149</v>
      </c>
      <c r="F36" s="41">
        <f>'Common Size&amp;Ratio'!F168</f>
        <v>59475</v>
      </c>
      <c r="G36" s="41">
        <f>'Common Size&amp;Ratio'!G168</f>
        <v>74071</v>
      </c>
      <c r="H36" s="41">
        <f>'Common Size&amp;Ratio'!H168</f>
        <v>71611</v>
      </c>
      <c r="I36" s="41">
        <f>'Common Size&amp;Ratio'!I168</f>
        <v>66987</v>
      </c>
      <c r="J36" s="168">
        <f>I36-E36</f>
        <v>1838</v>
      </c>
      <c r="K36" s="168">
        <f t="shared" si="8"/>
        <v>-5674</v>
      </c>
      <c r="L36" s="168">
        <f t="shared" si="8"/>
        <v>14596</v>
      </c>
      <c r="M36" s="168">
        <f t="shared" si="8"/>
        <v>-2460</v>
      </c>
      <c r="N36" s="168">
        <f t="shared" si="8"/>
        <v>-4624</v>
      </c>
      <c r="O36" s="355" t="str">
        <f t="shared" si="7"/>
        <v>Up</v>
      </c>
      <c r="P36" s="158" t="str">
        <f t="array" ref="P36">IF(COUNT(K36:N36)&lt;2,"n/a",
IF(OR(COUNTIF(K36:N36,"&gt;0")=COUNT(K36:N36),COUNTIF(K36:N36,"&lt;0")=COUNT(K36:N36)),
 IF(COUNTIF(K36:N36,"&gt;0")=COUNT(K36:N36),"Persistent rise – ","Persistent decline – ")&amp;
 IF(ABS(N36)&gt;1.25*SUMPRODUCT(ABS(IFERROR(K36:M36*1,0)))/COUNT(K36:M36),"accelerating",
 IF(ABS(N36)&lt;0.75*SUMPRODUCT(ABS(IFERROR(K36:M36*1,0)))/COUNT(K36:M36),"decelerating","steady pace")),
 IF(SUMPRODUCT(--(IFERROR(K36:M36*L36:N36,0)&lt;0))=1,
   IF(INDEX(K36:N36,MATCH(TRUE,INDEX(ISNUMBER(K36:N36),0),0))&gt;0,"Reversing – peak ","Reversing – trough ")&amp;
   INDEX($E$4:$I$4,MATCH(IF(INDEX(K36:N36,MATCH(TRUE,INDEX(ISNUMBER(K36:N36),0),0))&gt;0,MAX(E36:I36),MIN(E36:I36)),E36:I36,0)),
   "Volatile – direction changed "&amp;SUMPRODUCT(--(IFERROR(K36:M36*L36:N36,0)&lt;0))&amp;"x")))</f>
        <v>Volatile – direction changed 2x</v>
      </c>
    </row>
    <row r="37" spans="2:16" ht="14.5" customHeight="1" x14ac:dyDescent="0.35">
      <c r="B37" s="157" t="s">
        <v>246</v>
      </c>
      <c r="C37" s="157"/>
      <c r="D37" s="162"/>
      <c r="E37" s="321">
        <f>'Common Size&amp;Ratio'!E169</f>
        <v>0.32858727997175569</v>
      </c>
      <c r="F37" s="321">
        <f>'Common Size&amp;Ratio'!F169</f>
        <v>0.28065497959087371</v>
      </c>
      <c r="G37" s="321">
        <f>'Common Size&amp;Ratio'!G169</f>
        <v>0.30218013886962408</v>
      </c>
      <c r="H37" s="321">
        <f>'Common Size&amp;Ratio'!H169</f>
        <v>0.25418849654271558</v>
      </c>
      <c r="I37" s="321">
        <f>'Common Size&amp;Ratio'!I169</f>
        <v>0.20186596512164032</v>
      </c>
      <c r="J37" s="164">
        <f>(I37-E37)*100</f>
        <v>-12.672131485011537</v>
      </c>
      <c r="K37" s="164">
        <f>(F37-E37)*100</f>
        <v>-4.7932300380881978</v>
      </c>
      <c r="L37" s="164">
        <f>(G37-F37)*100</f>
        <v>2.1525159278750374</v>
      </c>
      <c r="M37" s="164">
        <f>(H37-G37)*100</f>
        <v>-4.7991642326908499</v>
      </c>
      <c r="N37" s="164">
        <f>(I37-H37)*100</f>
        <v>-5.2322531421075267</v>
      </c>
      <c r="O37" s="355" t="str">
        <f t="shared" si="7"/>
        <v>Down</v>
      </c>
      <c r="P37" s="158" t="str">
        <f t="array" ref="P37">IF(COUNT(K37:N37)&lt;2,"n/a",
IF(OR(COUNTIF(K37:N37,"&gt;0")=COUNT(K37:N37),COUNTIF(K37:N37,"&lt;0")=COUNT(K37:N37)),
 IF(COUNTIF(K37:N37,"&gt;0")=COUNT(K37:N37),"Persistent rise – ","Persistent decline – ")&amp;
 IF(ABS(N37)&gt;1.25*SUMPRODUCT(ABS(IFERROR(K37:M37*1,0)))/COUNT(K37:M37),"accelerating",
 IF(ABS(N37)&lt;0.75*SUMPRODUCT(ABS(IFERROR(K37:M37*1,0)))/COUNT(K37:M37),"decelerating","steady pace")),
 IF(SUMPRODUCT(--(IFERROR(K37:M37*L37:N37,0)&lt;0))=1,
   IF(INDEX(K37:N37,MATCH(TRUE,INDEX(ISNUMBER(K37:N37),0),0))&gt;0,"Reversing – peak ","Reversing – trough ")&amp;
   INDEX($E$4:$I$4,MATCH(IF(INDEX(K37:N37,MATCH(TRUE,INDEX(ISNUMBER(K37:N37),0),0))&gt;0,MAX(E37:I37),MIN(E37:I37)),E37:I37,0)),
   "Volatile – direction changed "&amp;SUMPRODUCT(--(IFERROR(K37:M37*L37:N37,0)&lt;0))&amp;"x")))</f>
        <v>Volatile – direction changed 2x</v>
      </c>
    </row>
    <row r="38" spans="2:16" ht="14.5" customHeight="1" x14ac:dyDescent="0.35">
      <c r="B38" s="157" t="s">
        <v>247</v>
      </c>
      <c r="C38" s="157"/>
      <c r="D38" s="162"/>
      <c r="E38" s="165">
        <f>E36/E33</f>
        <v>0.89566663917072231</v>
      </c>
      <c r="F38" s="165">
        <f>F36/F33</f>
        <v>0.82192064786279906</v>
      </c>
      <c r="G38" s="165">
        <f>G36/G33</f>
        <v>0.84041708269038762</v>
      </c>
      <c r="H38" s="165">
        <f>H36/H33</f>
        <v>0.70322688349438289</v>
      </c>
      <c r="I38" s="165">
        <f>I36/I33</f>
        <v>0.50084112778413292</v>
      </c>
      <c r="J38" s="167">
        <f t="shared" ref="J38:J45" si="9">I38-E38</f>
        <v>-0.39482551138658939</v>
      </c>
      <c r="K38" s="167">
        <f t="shared" ref="K38:N45" si="10">F38-E38</f>
        <v>-7.3745991307923253E-2</v>
      </c>
      <c r="L38" s="167">
        <f t="shared" si="10"/>
        <v>1.8496434827588559E-2</v>
      </c>
      <c r="M38" s="167">
        <f t="shared" si="10"/>
        <v>-0.13719019919600473</v>
      </c>
      <c r="N38" s="167">
        <f t="shared" si="10"/>
        <v>-0.20238575571024997</v>
      </c>
      <c r="O38" s="355" t="str">
        <f t="shared" si="7"/>
        <v>Down</v>
      </c>
      <c r="P38" s="158" t="str">
        <f t="array" ref="P38">IF(COUNT(K38:N38)&lt;2,"n/a",
IF(OR(COUNTIF(K38:N38,"&gt;0")=COUNT(K38:N38),COUNTIF(K38:N38,"&lt;0")=COUNT(K38:N38)),
 IF(COUNTIF(K38:N38,"&gt;0")=COUNT(K38:N38),"Persistent rise – ","Persistent decline – ")&amp;
 IF(ABS(N38)&gt;1.25*SUMPRODUCT(ABS(IFERROR(K38:M38*1,0)))/COUNT(K38:M38),"accelerating",
 IF(ABS(N38)&lt;0.75*SUMPRODUCT(ABS(IFERROR(K38:M38*1,0)))/COUNT(K38:M38),"decelerating","steady pace")),
 IF(SUMPRODUCT(--(IFERROR(K38:M38*L38:N38,0)&lt;0))=1,
   IF(INDEX(K38:N38,MATCH(TRUE,INDEX(ISNUMBER(K38:N38),0),0))&gt;0,"Reversing – peak ","Reversing – trough ")&amp;
   INDEX($E$4:$I$4,MATCH(IF(INDEX(K38:N38,MATCH(TRUE,INDEX(ISNUMBER(K38:N38),0),0))&gt;0,MAX(E38:I38),MIN(E38:I38)),E38:I38,0)),
   "Volatile – direction changed "&amp;SUMPRODUCT(--(IFERROR(K38:M38*L38:N38,0)&lt;0))&amp;"x")))</f>
        <v>Volatile – direction changed 2x</v>
      </c>
    </row>
    <row r="39" spans="2:16" ht="14.5" customHeight="1" x14ac:dyDescent="0.35">
      <c r="B39" s="157" t="s">
        <v>248</v>
      </c>
      <c r="C39" s="157"/>
      <c r="D39" s="162"/>
      <c r="E39" s="41">
        <f>ABS('Fin Statement'!E78)</f>
        <v>18135</v>
      </c>
      <c r="F39" s="41">
        <f>ABS('Fin Statement'!F78)</f>
        <v>19800</v>
      </c>
      <c r="G39" s="41">
        <f>ABS('Fin Statement'!G78)</f>
        <v>21771</v>
      </c>
      <c r="H39" s="41">
        <f>ABS('Fin Statement'!H78)</f>
        <v>24082</v>
      </c>
      <c r="I39" s="41">
        <f>ABS('Fin Statement'!I78)</f>
        <v>26445</v>
      </c>
      <c r="J39" s="168">
        <f t="shared" si="9"/>
        <v>8310</v>
      </c>
      <c r="K39" s="168">
        <f t="shared" si="10"/>
        <v>1665</v>
      </c>
      <c r="L39" s="168">
        <f t="shared" si="10"/>
        <v>1971</v>
      </c>
      <c r="M39" s="168">
        <f t="shared" si="10"/>
        <v>2311</v>
      </c>
      <c r="N39" s="168">
        <f t="shared" si="10"/>
        <v>2363</v>
      </c>
      <c r="O39" s="355" t="str">
        <f t="shared" si="7"/>
        <v>Up</v>
      </c>
      <c r="P39" s="158" t="str">
        <f t="array" ref="P39">IF(COUNT(K39:N39)&lt;2,"n/a",
IF(OR(COUNTIF(K39:N39,"&gt;0")=COUNT(K39:N39),COUNTIF(K39:N39,"&lt;0")=COUNT(K39:N39)),
 IF(COUNTIF(K39:N39,"&gt;0")=COUNT(K39:N39),"Persistent rise – ","Persistent decline – ")&amp;
 IF(ABS(N39)&gt;1.25*SUMPRODUCT(ABS(IFERROR(K39:M39*1,0)))/COUNT(K39:M39),"accelerating",
 IF(ABS(N39)&lt;0.75*SUMPRODUCT(ABS(IFERROR(K39:M39*1,0)))/COUNT(K39:M39),"decelerating","steady pace")),
 IF(SUMPRODUCT(--(IFERROR(K39:M39*L39:N39,0)&lt;0))=1,
   IF(INDEX(K39:N39,MATCH(TRUE,INDEX(ISNUMBER(K39:N39),0),0))&gt;0,"Reversing – peak ","Reversing – trough ")&amp;
   INDEX($E$4:$I$4,MATCH(IF(INDEX(K39:N39,MATCH(TRUE,INDEX(ISNUMBER(K39:N39),0),0))&gt;0,MAX(E39:I39),MIN(E39:I39)),E39:I39,0)),
   "Volatile – direction changed "&amp;SUMPRODUCT(--(IFERROR(K39:M39*L39:N39,0)&lt;0))&amp;"x")))</f>
        <v>Persistent rise – steady pace</v>
      </c>
    </row>
    <row r="40" spans="2:16" ht="14.5" customHeight="1" x14ac:dyDescent="0.35">
      <c r="B40" s="157" t="s">
        <v>249</v>
      </c>
      <c r="C40" s="157"/>
      <c r="D40" s="162"/>
      <c r="E40" s="41">
        <f>ABS('Fin Statement'!E77)</f>
        <v>30855</v>
      </c>
      <c r="F40" s="41">
        <f>ABS('Fin Statement'!F77)</f>
        <v>20379</v>
      </c>
      <c r="G40" s="41">
        <f>ABS('Fin Statement'!G77)</f>
        <v>15252</v>
      </c>
      <c r="H40" s="41">
        <f>ABS('Fin Statement'!H77)</f>
        <v>16364</v>
      </c>
      <c r="I40" s="41">
        <f>ABS('Fin Statement'!I77)</f>
        <v>20262</v>
      </c>
      <c r="J40" s="168">
        <f t="shared" si="9"/>
        <v>-10593</v>
      </c>
      <c r="K40" s="168">
        <f t="shared" si="10"/>
        <v>-10476</v>
      </c>
      <c r="L40" s="168">
        <f t="shared" si="10"/>
        <v>-5127</v>
      </c>
      <c r="M40" s="168">
        <f t="shared" si="10"/>
        <v>1112</v>
      </c>
      <c r="N40" s="168">
        <f t="shared" si="10"/>
        <v>3898</v>
      </c>
      <c r="O40" s="355" t="str">
        <f t="shared" si="7"/>
        <v>Down</v>
      </c>
      <c r="P40" s="158" t="str">
        <f t="array" ref="P40">IF(COUNT(K40:N40)&lt;2,"n/a",
IF(OR(COUNTIF(K40:N40,"&gt;0")=COUNT(K40:N40),COUNTIF(K40:N40,"&lt;0")=COUNT(K40:N40)),
 IF(COUNTIF(K40:N40,"&gt;0")=COUNT(K40:N40),"Persistent rise – ","Persistent decline – ")&amp;
 IF(ABS(N40)&gt;1.25*SUMPRODUCT(ABS(IFERROR(K40:M40*1,0)))/COUNT(K40:M40),"accelerating",
 IF(ABS(N40)&lt;0.75*SUMPRODUCT(ABS(IFERROR(K40:M40*1,0)))/COUNT(K40:M40),"decelerating","steady pace")),
 IF(SUMPRODUCT(--(IFERROR(K40:M40*L40:N40,0)&lt;0))=1,
   IF(INDEX(K40:N40,MATCH(TRUE,INDEX(ISNUMBER(K40:N40),0),0))&gt;0,"Reversing – peak ","Reversing – trough ")&amp;
   INDEX($E$4:$I$4,MATCH(IF(INDEX(K40:N40,MATCH(TRUE,INDEX(ISNUMBER(K40:N40),0),0))&gt;0,MAX(E40:I40),MIN(E40:I40)),E40:I40,0)),
   "Volatile – direction changed "&amp;SUMPRODUCT(--(IFERROR(K40:M40*L40:N40,0)&lt;0))&amp;"x")))</f>
        <v>Reversing – trough 2024</v>
      </c>
    </row>
    <row r="41" spans="2:16" ht="14.5" customHeight="1" x14ac:dyDescent="0.35">
      <c r="B41" s="157" t="s">
        <v>250</v>
      </c>
      <c r="C41" s="157"/>
      <c r="D41" s="162"/>
      <c r="E41" s="7">
        <f>E35+E39+E40</f>
        <v>72876</v>
      </c>
      <c r="F41" s="7">
        <f>F35+F39+F40</f>
        <v>68286</v>
      </c>
      <c r="G41" s="7">
        <f>G35+G39+G40</f>
        <v>81500</v>
      </c>
      <c r="H41" s="7">
        <f>H35+H39+H40</f>
        <v>104997</v>
      </c>
      <c r="I41" s="7">
        <f>I35+I39+I40</f>
        <v>162655</v>
      </c>
      <c r="J41" s="168">
        <f t="shared" si="9"/>
        <v>89779</v>
      </c>
      <c r="K41" s="168">
        <f t="shared" si="10"/>
        <v>-4590</v>
      </c>
      <c r="L41" s="168">
        <f t="shared" si="10"/>
        <v>13214</v>
      </c>
      <c r="M41" s="168">
        <f t="shared" si="10"/>
        <v>23497</v>
      </c>
      <c r="N41" s="168">
        <f t="shared" si="10"/>
        <v>57658</v>
      </c>
      <c r="O41" s="355" t="str">
        <f t="shared" si="7"/>
        <v>Up</v>
      </c>
      <c r="P41" s="158" t="str">
        <f t="array" ref="P41">IF(COUNT(K41:N41)&lt;2,"n/a",
IF(OR(COUNTIF(K41:N41,"&gt;0")=COUNT(K41:N41),COUNTIF(K41:N41,"&lt;0")=COUNT(K41:N41)),
 IF(COUNTIF(K41:N41,"&gt;0")=COUNT(K41:N41),"Persistent rise – ","Persistent decline – ")&amp;
 IF(ABS(N41)&gt;1.25*SUMPRODUCT(ABS(IFERROR(K41:M41*1,0)))/COUNT(K41:M41),"accelerating",
 IF(ABS(N41)&lt;0.75*SUMPRODUCT(ABS(IFERROR(K41:M41*1,0)))/COUNT(K41:M41),"decelerating","steady pace")),
 IF(SUMPRODUCT(--(IFERROR(K41:M41*L41:N41,0)&lt;0))=1,
   IF(INDEX(K41:N41,MATCH(TRUE,INDEX(ISNUMBER(K41:N41),0),0))&gt;0,"Reversing – peak ","Reversing – trough ")&amp;
   INDEX($E$4:$I$4,MATCH(IF(INDEX(K41:N41,MATCH(TRUE,INDEX(ISNUMBER(K41:N41),0),0))&gt;0,MAX(E41:I41),MIN(E41:I41)),E41:I41,0)),
   "Volatile – direction changed "&amp;SUMPRODUCT(--(IFERROR(K41:M41*L41:N41,0)&lt;0))&amp;"x")))</f>
        <v>Reversing – trough 2023</v>
      </c>
    </row>
    <row r="42" spans="2:16" ht="14.5" customHeight="1" x14ac:dyDescent="0.35">
      <c r="B42" s="157" t="s">
        <v>251</v>
      </c>
      <c r="C42" s="157"/>
      <c r="D42" s="162"/>
      <c r="E42" s="7">
        <f>E31-E41</f>
        <v>16159</v>
      </c>
      <c r="F42" s="7">
        <f>F31-F41</f>
        <v>19296</v>
      </c>
      <c r="G42" s="7">
        <f>G31-G41</f>
        <v>37048</v>
      </c>
      <c r="H42" s="7">
        <f>H31-H41</f>
        <v>31165</v>
      </c>
      <c r="I42" s="7">
        <f>I31-I41</f>
        <v>20280</v>
      </c>
      <c r="J42" s="168">
        <f t="shared" si="9"/>
        <v>4121</v>
      </c>
      <c r="K42" s="168">
        <f t="shared" si="10"/>
        <v>3137</v>
      </c>
      <c r="L42" s="168">
        <f t="shared" si="10"/>
        <v>17752</v>
      </c>
      <c r="M42" s="168">
        <f t="shared" si="10"/>
        <v>-5883</v>
      </c>
      <c r="N42" s="168">
        <f t="shared" si="10"/>
        <v>-10885</v>
      </c>
      <c r="O42" s="355" t="str">
        <f t="shared" si="7"/>
        <v>Up</v>
      </c>
      <c r="P42" s="158" t="str">
        <f t="array" ref="P42">IF(COUNT(K42:N42)&lt;2,"n/a",
IF(OR(COUNTIF(K42:N42,"&gt;0")=COUNT(K42:N42),COUNTIF(K42:N42,"&lt;0")=COUNT(K42:N42)),
 IF(COUNTIF(K42:N42,"&gt;0")=COUNT(K42:N42),"Persistent rise – ","Persistent decline – ")&amp;
 IF(ABS(N42)&gt;1.25*SUMPRODUCT(ABS(IFERROR(K42:M42*1,0)))/COUNT(K42:M42),"accelerating",
 IF(ABS(N42)&lt;0.75*SUMPRODUCT(ABS(IFERROR(K42:M42*1,0)))/COUNT(K42:M42),"decelerating","steady pace")),
 IF(SUMPRODUCT(--(IFERROR(K42:M42*L42:N42,0)&lt;0))=1,
   IF(INDEX(K42:N42,MATCH(TRUE,INDEX(ISNUMBER(K42:N42),0),0))&gt;0,"Reversing – peak ","Reversing – trough ")&amp;
   INDEX($E$4:$I$4,MATCH(IF(INDEX(K42:N42,MATCH(TRUE,INDEX(ISNUMBER(K42:N42),0),0))&gt;0,MAX(E42:I42),MIN(E42:I42)),E42:I42,0)),
   "Volatile – direction changed "&amp;SUMPRODUCT(--(IFERROR(K42:M42*L42:N42,0)&lt;0))&amp;"x")))</f>
        <v>Reversing – peak 2024</v>
      </c>
    </row>
    <row r="43" spans="2:16" ht="14.5" customHeight="1" x14ac:dyDescent="0.35">
      <c r="B43" s="157" t="s">
        <v>252</v>
      </c>
      <c r="C43" s="157"/>
      <c r="D43" s="162"/>
      <c r="E43" s="165">
        <f>E31/E41</f>
        <v>1.2217328064108897</v>
      </c>
      <c r="F43" s="165">
        <f>F31/F41</f>
        <v>1.2825762235304454</v>
      </c>
      <c r="G43" s="165">
        <f>G31/G41</f>
        <v>1.4545766871165644</v>
      </c>
      <c r="H43" s="165">
        <f>H31/H41</f>
        <v>1.296818004323933</v>
      </c>
      <c r="I43" s="165">
        <f>I31/I41</f>
        <v>1.124681073437644</v>
      </c>
      <c r="J43" s="167">
        <f t="shared" si="9"/>
        <v>-9.7051732973245652E-2</v>
      </c>
      <c r="K43" s="167">
        <f t="shared" si="10"/>
        <v>6.0843417119555765E-2</v>
      </c>
      <c r="L43" s="167">
        <f t="shared" si="10"/>
        <v>0.17200046358611898</v>
      </c>
      <c r="M43" s="167">
        <f t="shared" si="10"/>
        <v>-0.15775868279263139</v>
      </c>
      <c r="N43" s="167">
        <f t="shared" si="10"/>
        <v>-0.17213693088628901</v>
      </c>
      <c r="O43" s="355" t="str">
        <f t="shared" si="7"/>
        <v>Down</v>
      </c>
      <c r="P43" s="158" t="str">
        <f t="array" ref="P43">IF(COUNT(K43:N43)&lt;2,"n/a",
IF(OR(COUNTIF(K43:N43,"&gt;0")=COUNT(K43:N43),COUNTIF(K43:N43,"&lt;0")=COUNT(K43:N43)),
 IF(COUNTIF(K43:N43,"&gt;0")=COUNT(K43:N43),"Persistent rise – ","Persistent decline – ")&amp;
 IF(ABS(N43)&gt;1.25*SUMPRODUCT(ABS(IFERROR(K43:M43*1,0)))/COUNT(K43:M43),"accelerating",
 IF(ABS(N43)&lt;0.75*SUMPRODUCT(ABS(IFERROR(K43:M43*1,0)))/COUNT(K43:M43),"decelerating","steady pace")),
 IF(SUMPRODUCT(--(IFERROR(K43:M43*L43:N43,0)&lt;0))=1,
   IF(INDEX(K43:N43,MATCH(TRUE,INDEX(ISNUMBER(K43:N43),0),0))&gt;0,"Reversing – peak ","Reversing – trough ")&amp;
   INDEX($E$4:$I$4,MATCH(IF(INDEX(K43:N43,MATCH(TRUE,INDEX(ISNUMBER(K43:N43),0),0))&gt;0,MAX(E43:I43),MIN(E43:I43)),E43:I43,0)),
   "Volatile – direction changed "&amp;SUMPRODUCT(--(IFERROR(K43:M43*L43:N43,0)&lt;0))&amp;"x")))</f>
        <v>Reversing – peak 2024</v>
      </c>
    </row>
    <row r="44" spans="2:16" ht="14.5" customHeight="1" x14ac:dyDescent="0.35">
      <c r="B44" s="157" t="s">
        <v>253</v>
      </c>
      <c r="C44" s="157"/>
      <c r="D44" s="162"/>
      <c r="E44" s="41">
        <f>ABS('Fin Statement'!E76)</f>
        <v>9023</v>
      </c>
      <c r="F44" s="41">
        <f>ABS('Fin Statement'!F76)</f>
        <v>2750</v>
      </c>
      <c r="G44" s="41">
        <f>ABS('Fin Statement'!G76)</f>
        <v>575</v>
      </c>
      <c r="H44" s="41">
        <f>ABS('Fin Statement'!H76)</f>
        <v>8962</v>
      </c>
      <c r="I44" s="41">
        <f>ABS('Fin Statement'!I76)</f>
        <v>3000</v>
      </c>
      <c r="J44" s="168">
        <f t="shared" si="9"/>
        <v>-6023</v>
      </c>
      <c r="K44" s="168">
        <f t="shared" si="10"/>
        <v>-6273</v>
      </c>
      <c r="L44" s="168">
        <f t="shared" si="10"/>
        <v>-2175</v>
      </c>
      <c r="M44" s="168">
        <f t="shared" si="10"/>
        <v>8387</v>
      </c>
      <c r="N44" s="168">
        <f t="shared" si="10"/>
        <v>-5962</v>
      </c>
      <c r="O44" s="355" t="str">
        <f t="shared" si="7"/>
        <v>Down</v>
      </c>
      <c r="P44" s="158" t="str">
        <f t="array" ref="P44">IF(COUNT(K44:N44)&lt;2,"n/a",
IF(OR(COUNTIF(K44:N44,"&gt;0")=COUNT(K44:N44),COUNTIF(K44:N44,"&lt;0")=COUNT(K44:N44)),
 IF(COUNTIF(K44:N44,"&gt;0")=COUNT(K44:N44),"Persistent rise – ","Persistent decline – ")&amp;
 IF(ABS(N44)&gt;1.25*SUMPRODUCT(ABS(IFERROR(K44:M44*1,0)))/COUNT(K44:M44),"accelerating",
 IF(ABS(N44)&lt;0.75*SUMPRODUCT(ABS(IFERROR(K44:M44*1,0)))/COUNT(K44:M44),"decelerating","steady pace")),
 IF(SUMPRODUCT(--(IFERROR(K44:M44*L44:N44,0)&lt;0))=1,
   IF(INDEX(K44:N44,MATCH(TRUE,INDEX(ISNUMBER(K44:N44),0),0))&gt;0,"Reversing – peak ","Reversing – trough ")&amp;
   INDEX($E$4:$I$4,MATCH(IF(INDEX(K44:N44,MATCH(TRUE,INDEX(ISNUMBER(K44:N44),0),0))&gt;0,MAX(E44:I44),MIN(E44:I44)),E44:I44,0)),
   "Volatile – direction changed "&amp;SUMPRODUCT(--(IFERROR(K44:M44*L44:N44,0)&lt;0))&amp;"x")))</f>
        <v>Volatile – direction changed 2x</v>
      </c>
    </row>
    <row r="45" spans="2:16" ht="14.5" customHeight="1" x14ac:dyDescent="0.35">
      <c r="B45" s="157" t="s">
        <v>254</v>
      </c>
      <c r="C45" s="157"/>
      <c r="D45" s="162"/>
      <c r="E45" s="7">
        <f>E42-E44</f>
        <v>7136</v>
      </c>
      <c r="F45" s="7">
        <f>F42-F44</f>
        <v>16546</v>
      </c>
      <c r="G45" s="7">
        <f>G42-G44</f>
        <v>36473</v>
      </c>
      <c r="H45" s="7">
        <f>H42-H44</f>
        <v>22203</v>
      </c>
      <c r="I45" s="7">
        <f>I42-I44</f>
        <v>17280</v>
      </c>
      <c r="J45" s="168">
        <f t="shared" si="9"/>
        <v>10144</v>
      </c>
      <c r="K45" s="168">
        <f t="shared" si="10"/>
        <v>9410</v>
      </c>
      <c r="L45" s="168">
        <f t="shared" si="10"/>
        <v>19927</v>
      </c>
      <c r="M45" s="168">
        <f t="shared" si="10"/>
        <v>-14270</v>
      </c>
      <c r="N45" s="168">
        <f t="shared" si="10"/>
        <v>-4923</v>
      </c>
      <c r="O45" s="355" t="str">
        <f t="shared" si="7"/>
        <v>Up</v>
      </c>
      <c r="P45" s="158" t="str">
        <f t="array" ref="P45">IF(COUNT(K45:N45)&lt;2,"n/a",
IF(OR(COUNTIF(K45:N45,"&gt;0")=COUNT(K45:N45),COUNTIF(K45:N45,"&lt;0")=COUNT(K45:N45)),
 IF(COUNTIF(K45:N45,"&gt;0")=COUNT(K45:N45),"Persistent rise – ","Persistent decline – ")&amp;
 IF(ABS(N45)&gt;1.25*SUMPRODUCT(ABS(IFERROR(K45:M45*1,0)))/COUNT(K45:M45),"accelerating",
 IF(ABS(N45)&lt;0.75*SUMPRODUCT(ABS(IFERROR(K45:M45*1,0)))/COUNT(K45:M45),"decelerating","steady pace")),
 IF(SUMPRODUCT(--(IFERROR(K45:M45*L45:N45,0)&lt;0))=1,
   IF(INDEX(K45:N45,MATCH(TRUE,INDEX(ISNUMBER(K45:N45),0),0))&gt;0,"Reversing – peak ","Reversing – trough ")&amp;
   INDEX($E$4:$I$4,MATCH(IF(INDEX(K45:N45,MATCH(TRUE,INDEX(ISNUMBER(K45:N45),0),0))&gt;0,MAX(E45:I45),MIN(E45:I45)),E45:I45,0)),
   "Volatile – direction changed "&amp;SUMPRODUCT(--(IFERROR(K45:M45*L45:N45,0)&lt;0))&amp;"x")))</f>
        <v>Reversing – peak 2024</v>
      </c>
    </row>
    <row r="46" spans="2:16" ht="14.5" customHeight="1" x14ac:dyDescent="0.35">
      <c r="J46" s="158"/>
      <c r="K46" s="158"/>
      <c r="L46" s="158"/>
      <c r="M46" s="158"/>
      <c r="N46" s="158"/>
      <c r="P46" s="158"/>
    </row>
    <row r="47" spans="2:16" ht="14.5" customHeight="1" x14ac:dyDescent="0.35">
      <c r="B47" s="159" t="s">
        <v>62</v>
      </c>
      <c r="C47" s="159"/>
      <c r="D47" s="159"/>
      <c r="J47" s="158"/>
      <c r="K47" s="158"/>
      <c r="L47" s="158"/>
      <c r="M47" s="158"/>
      <c r="N47" s="158"/>
      <c r="P47" s="158"/>
    </row>
    <row r="48" spans="2:16" ht="14.5" customHeight="1" x14ac:dyDescent="0.35">
      <c r="B48" s="157" t="s">
        <v>255</v>
      </c>
      <c r="C48" s="157"/>
      <c r="D48" s="162"/>
      <c r="E48" s="41">
        <f>WACC!E17</f>
        <v>49781</v>
      </c>
      <c r="F48" s="41">
        <f>WACC!F17</f>
        <v>47237</v>
      </c>
      <c r="G48" s="41">
        <f>WACC!G17</f>
        <v>51630</v>
      </c>
      <c r="H48" s="41">
        <f>WACC!H17</f>
        <v>43151</v>
      </c>
      <c r="I48" s="41">
        <f>WACC!I17</f>
        <v>106888</v>
      </c>
      <c r="J48" s="168">
        <f>I48-E48</f>
        <v>57107</v>
      </c>
      <c r="K48" s="168">
        <f t="shared" ref="K48:N51" si="11">F48-E48</f>
        <v>-2544</v>
      </c>
      <c r="L48" s="168">
        <f t="shared" si="11"/>
        <v>4393</v>
      </c>
      <c r="M48" s="168">
        <f t="shared" si="11"/>
        <v>-8479</v>
      </c>
      <c r="N48" s="168">
        <f t="shared" si="11"/>
        <v>63737</v>
      </c>
      <c r="O48" s="355" t="str">
        <f t="shared" ref="O48:O60" si="12">IF(J48&gt;0,"Up",IF(J48&lt;0,"Down","Flat"))</f>
        <v>Up</v>
      </c>
      <c r="P48" s="158" t="str">
        <f t="array" ref="P48">IF(COUNT(K48:N48)&lt;2,"n/a",
IF(OR(COUNTIF(K48:N48,"&gt;0")=COUNT(K48:N48),COUNTIF(K48:N48,"&lt;0")=COUNT(K48:N48)),
 IF(COUNTIF(K48:N48,"&gt;0")=COUNT(K48:N48),"Persistent rise – ","Persistent decline – ")&amp;
 IF(ABS(N48)&gt;1.25*SUMPRODUCT(ABS(IFERROR(K48:M48*1,0)))/COUNT(K48:M48),"accelerating",
 IF(ABS(N48)&lt;0.75*SUMPRODUCT(ABS(IFERROR(K48:M48*1,0)))/COUNT(K48:M48),"decelerating","steady pace")),
 IF(SUMPRODUCT(--(IFERROR(K48:M48*L48:N48,0)&lt;0))=1,
   IF(INDEX(K48:N48,MATCH(TRUE,INDEX(ISNUMBER(K48:N48),0),0))&gt;0,"Reversing – peak ","Reversing – trough ")&amp;
   INDEX($E$4:$I$4,MATCH(IF(INDEX(K48:N48,MATCH(TRUE,INDEX(ISNUMBER(K48:N48),0),0))&gt;0,MAX(E48:I48),MIN(E48:I48)),E48:I48,0)),
   "Volatile – direction changed "&amp;SUMPRODUCT(--(IFERROR(K48:M48*L48:N48,0)&lt;0))&amp;"x")))</f>
        <v>Volatile – direction changed 3x</v>
      </c>
    </row>
    <row r="49" spans="2:16" ht="14.5" customHeight="1" x14ac:dyDescent="0.35">
      <c r="B49" s="157" t="s">
        <v>256</v>
      </c>
      <c r="C49" s="157"/>
      <c r="D49" s="162"/>
      <c r="E49" s="41">
        <f>'Fin Statement'!E98</f>
        <v>13931</v>
      </c>
      <c r="F49" s="41">
        <f>'Fin Statement'!F98</f>
        <v>34704</v>
      </c>
      <c r="G49" s="41">
        <f>'Fin Statement'!G98</f>
        <v>18315</v>
      </c>
      <c r="H49" s="41">
        <f>'Fin Statement'!H98</f>
        <v>30242</v>
      </c>
      <c r="I49" s="41">
        <f>'Fin Statement'!I98</f>
        <v>20935</v>
      </c>
      <c r="J49" s="168">
        <f>I49-E49</f>
        <v>7004</v>
      </c>
      <c r="K49" s="168">
        <f t="shared" si="11"/>
        <v>20773</v>
      </c>
      <c r="L49" s="168">
        <f t="shared" si="11"/>
        <v>-16389</v>
      </c>
      <c r="M49" s="168">
        <f t="shared" si="11"/>
        <v>11927</v>
      </c>
      <c r="N49" s="168">
        <f t="shared" si="11"/>
        <v>-9307</v>
      </c>
      <c r="O49" s="355" t="str">
        <f t="shared" si="12"/>
        <v>Up</v>
      </c>
      <c r="P49" s="158" t="str">
        <f t="array" ref="P49">IF(COUNT(K49:N49)&lt;2,"n/a",
IF(OR(COUNTIF(K49:N49,"&gt;0")=COUNT(K49:N49),COUNTIF(K49:N49,"&lt;0")=COUNT(K49:N49)),
 IF(COUNTIF(K49:N49,"&gt;0")=COUNT(K49:N49),"Persistent rise – ","Persistent decline – ")&amp;
 IF(ABS(N49)&gt;1.25*SUMPRODUCT(ABS(IFERROR(K49:M49*1,0)))/COUNT(K49:M49),"accelerating",
 IF(ABS(N49)&lt;0.75*SUMPRODUCT(ABS(IFERROR(K49:M49*1,0)))/COUNT(K49:M49),"decelerating","steady pace")),
 IF(SUMPRODUCT(--(IFERROR(K49:M49*L49:N49,0)&lt;0))=1,
   IF(INDEX(K49:N49,MATCH(TRUE,INDEX(ISNUMBER(K49:N49),0),0))&gt;0,"Reversing – peak ","Reversing – trough ")&amp;
   INDEX($E$4:$I$4,MATCH(IF(INDEX(K49:N49,MATCH(TRUE,INDEX(ISNUMBER(K49:N49),0),0))&gt;0,MAX(E49:I49),MIN(E49:I49)),E49:I49,0)),
   "Volatile – direction changed "&amp;SUMPRODUCT(--(IFERROR(K49:M49*L49:N49,0)&lt;0))&amp;"x")))</f>
        <v>Volatile – direction changed 3x</v>
      </c>
    </row>
    <row r="50" spans="2:16" ht="14.5" customHeight="1" x14ac:dyDescent="0.35">
      <c r="B50" s="157" t="s">
        <v>257</v>
      </c>
      <c r="C50" s="157"/>
      <c r="D50" s="162"/>
      <c r="E50" s="7">
        <f>E49-E48</f>
        <v>-35850</v>
      </c>
      <c r="F50" s="7">
        <f>F49-F48</f>
        <v>-12533</v>
      </c>
      <c r="G50" s="7">
        <f>G49-G48</f>
        <v>-33315</v>
      </c>
      <c r="H50" s="7">
        <f>H49-H48</f>
        <v>-12909</v>
      </c>
      <c r="I50" s="7">
        <f>I49-I48</f>
        <v>-85953</v>
      </c>
      <c r="J50" s="168">
        <f>I50-E50</f>
        <v>-50103</v>
      </c>
      <c r="K50" s="168">
        <f t="shared" si="11"/>
        <v>23317</v>
      </c>
      <c r="L50" s="168">
        <f t="shared" si="11"/>
        <v>-20782</v>
      </c>
      <c r="M50" s="168">
        <f t="shared" si="11"/>
        <v>20406</v>
      </c>
      <c r="N50" s="168">
        <f t="shared" si="11"/>
        <v>-73044</v>
      </c>
      <c r="O50" s="355" t="str">
        <f t="shared" si="12"/>
        <v>Down</v>
      </c>
      <c r="P50" s="158" t="str">
        <f t="array" ref="P50">IF(COUNT(K50:N50)&lt;2,"n/a",
IF(OR(COUNTIF(K50:N50,"&gt;0")=COUNT(K50:N50),COUNTIF(K50:N50,"&lt;0")=COUNT(K50:N50)),
 IF(COUNTIF(K50:N50,"&gt;0")=COUNT(K50:N50),"Persistent rise – ","Persistent decline – ")&amp;
 IF(ABS(N50)&gt;1.25*SUMPRODUCT(ABS(IFERROR(K50:M50*1,0)))/COUNT(K50:M50),"accelerating",
 IF(ABS(N50)&lt;0.75*SUMPRODUCT(ABS(IFERROR(K50:M50*1,0)))/COUNT(K50:M50),"decelerating","steady pace")),
 IF(SUMPRODUCT(--(IFERROR(K50:M50*L50:N50,0)&lt;0))=1,
   IF(INDEX(K50:N50,MATCH(TRUE,INDEX(ISNUMBER(K50:N50),0),0))&gt;0,"Reversing – peak ","Reversing – trough ")&amp;
   INDEX($E$4:$I$4,MATCH(IF(INDEX(K50:N50,MATCH(TRUE,INDEX(ISNUMBER(K50:N50),0),0))&gt;0,MAX(E50:I50),MIN(E50:I50)),E50:I50,0)),
   "Volatile – direction changed "&amp;SUMPRODUCT(--(IFERROR(K50:M50*L50:N50,0)&lt;0))&amp;"x")))</f>
        <v>Volatile – direction changed 3x</v>
      </c>
    </row>
    <row r="51" spans="2:16" ht="14.5" customHeight="1" x14ac:dyDescent="0.35">
      <c r="B51" s="157" t="s">
        <v>258</v>
      </c>
      <c r="C51" s="157"/>
      <c r="D51" s="162"/>
      <c r="E51" s="41">
        <f>'Fin Statement'!E131</f>
        <v>166542</v>
      </c>
      <c r="F51" s="41">
        <f>'Fin Statement'!F131</f>
        <v>206223</v>
      </c>
      <c r="G51" s="41">
        <f>'Fin Statement'!G131</f>
        <v>268477</v>
      </c>
      <c r="H51" s="41">
        <f>'Fin Statement'!H131</f>
        <v>343479</v>
      </c>
      <c r="I51" s="41">
        <f>'Fin Statement'!I131</f>
        <v>442387</v>
      </c>
      <c r="J51" s="168">
        <f>I51-E51</f>
        <v>275845</v>
      </c>
      <c r="K51" s="168">
        <f t="shared" si="11"/>
        <v>39681</v>
      </c>
      <c r="L51" s="168">
        <f t="shared" si="11"/>
        <v>62254</v>
      </c>
      <c r="M51" s="168">
        <f t="shared" si="11"/>
        <v>75002</v>
      </c>
      <c r="N51" s="168">
        <f t="shared" si="11"/>
        <v>98908</v>
      </c>
      <c r="O51" s="355" t="str">
        <f t="shared" si="12"/>
        <v>Up</v>
      </c>
      <c r="P51" s="158" t="str">
        <f t="array" ref="P51">IF(COUNT(K51:N51)&lt;2,"n/a",
IF(OR(COUNTIF(K51:N51,"&gt;0")=COUNT(K51:N51),COUNTIF(K51:N51,"&lt;0")=COUNT(K51:N51)),
 IF(COUNTIF(K51:N51,"&gt;0")=COUNT(K51:N51),"Persistent rise – ","Persistent decline – ")&amp;
 IF(ABS(N51)&gt;1.25*SUMPRODUCT(ABS(IFERROR(K51:M51*1,0)))/COUNT(K51:M51),"accelerating",
 IF(ABS(N51)&lt;0.75*SUMPRODUCT(ABS(IFERROR(K51:M51*1,0)))/COUNT(K51:M51),"decelerating","steady pace")),
 IF(SUMPRODUCT(--(IFERROR(K51:M51*L51:N51,0)&lt;0))=1,
   IF(INDEX(K51:N51,MATCH(TRUE,INDEX(ISNUMBER(K51:N51),0),0))&gt;0,"Reversing – peak ","Reversing – trough ")&amp;
   INDEX($E$4:$I$4,MATCH(IF(INDEX(K51:N51,MATCH(TRUE,INDEX(ISNUMBER(K51:N51),0),0))&gt;0,MAX(E51:I51),MIN(E51:I51)),E51:I51,0)),
   "Volatile – direction changed "&amp;SUMPRODUCT(--(IFERROR(K51:M51*L51:N51,0)&lt;0))&amp;"x")))</f>
        <v>Persistent rise – accelerating</v>
      </c>
    </row>
    <row r="52" spans="2:16" ht="14.5" customHeight="1" x14ac:dyDescent="0.35">
      <c r="B52" s="157" t="s">
        <v>135</v>
      </c>
      <c r="C52" s="157"/>
      <c r="D52" s="162"/>
      <c r="E52" s="321">
        <f>'Common Size&amp;Ratio'!E154</f>
        <v>0.29890958436910808</v>
      </c>
      <c r="F52" s="321">
        <f>'Common Size&amp;Ratio'!F154</f>
        <v>0.2290578645446919</v>
      </c>
      <c r="G52" s="321">
        <f>'Common Size&amp;Ratio'!G154</f>
        <v>0.19230697601656752</v>
      </c>
      <c r="H52" s="321">
        <f>'Common Size&amp;Ratio'!H154</f>
        <v>0.12562922332951942</v>
      </c>
      <c r="I52" s="321">
        <f>'Common Size&amp;Ratio'!I154</f>
        <v>9.1083146656660341E-2</v>
      </c>
      <c r="J52" s="164">
        <f>(I52-E52)*100</f>
        <v>-20.782643771244775</v>
      </c>
      <c r="K52" s="164">
        <f t="shared" ref="K52:N53" si="13">(F52-E52)*100</f>
        <v>-6.9851719824416181</v>
      </c>
      <c r="L52" s="164">
        <f t="shared" si="13"/>
        <v>-3.6750888528124386</v>
      </c>
      <c r="M52" s="164">
        <f t="shared" si="13"/>
        <v>-6.6677752687048093</v>
      </c>
      <c r="N52" s="164">
        <f t="shared" si="13"/>
        <v>-3.4546076672859085</v>
      </c>
      <c r="O52" s="355" t="str">
        <f t="shared" si="12"/>
        <v>Down</v>
      </c>
      <c r="P52" s="158" t="str">
        <f t="array" ref="P52">IF(COUNT(K52:N52)&lt;2,"n/a",
IF(OR(COUNTIF(K52:N52,"&gt;0")=COUNT(K52:N52),COUNTIF(K52:N52,"&lt;0")=COUNT(K52:N52)),
 IF(COUNTIF(K52:N52,"&gt;0")=COUNT(K52:N52),"Persistent rise – ","Persistent decline – ")&amp;
 IF(ABS(N52)&gt;1.25*SUMPRODUCT(ABS(IFERROR(K52:M52*1,0)))/COUNT(K52:M52),"accelerating",
 IF(ABS(N52)&lt;0.75*SUMPRODUCT(ABS(IFERROR(K52:M52*1,0)))/COUNT(K52:M52),"decelerating","steady pace")),
 IF(SUMPRODUCT(--(IFERROR(K52:M52*L52:N52,0)&lt;0))=1,
   IF(INDEX(K52:N52,MATCH(TRUE,INDEX(ISNUMBER(K52:N52),0),0))&gt;0,"Reversing – peak ","Reversing – trough ")&amp;
   INDEX($E$4:$I$4,MATCH(IF(INDEX(K52:N52,MATCH(TRUE,INDEX(ISNUMBER(K52:N52),0),0))&gt;0,MAX(E52:I52),MIN(E52:I52)),E52:I52,0)),
   "Volatile – direction changed "&amp;SUMPRODUCT(--(IFERROR(K52:M52*L52:N52,0)&lt;0))&amp;"x")))</f>
        <v>Persistent decline – decelerating</v>
      </c>
    </row>
    <row r="53" spans="2:16" ht="14.5" customHeight="1" x14ac:dyDescent="0.35">
      <c r="B53" s="157" t="s">
        <v>136</v>
      </c>
      <c r="C53" s="157"/>
      <c r="D53" s="162"/>
      <c r="E53" s="321">
        <f>'Common Size&amp;Ratio'!E155</f>
        <v>0.13644611336476264</v>
      </c>
      <c r="F53" s="321">
        <f>'Common Size&amp;Ratio'!F155</f>
        <v>0.11465959182088277</v>
      </c>
      <c r="G53" s="321">
        <f>'Common Size&amp;Ratio'!G155</f>
        <v>0.10080775065750552</v>
      </c>
      <c r="H53" s="321">
        <f>'Common Size&amp;Ratio'!H155</f>
        <v>6.9710486055802642E-2</v>
      </c>
      <c r="I53" s="321">
        <f>'Common Size&amp;Ratio'!I155</f>
        <v>5.3131955652605041E-2</v>
      </c>
      <c r="J53" s="164">
        <f>(I53-E53)*100</f>
        <v>-8.3314157712157613</v>
      </c>
      <c r="K53" s="164">
        <f t="shared" si="13"/>
        <v>-2.1786521543879873</v>
      </c>
      <c r="L53" s="164">
        <f t="shared" si="13"/>
        <v>-1.3851841163377245</v>
      </c>
      <c r="M53" s="164">
        <f t="shared" si="13"/>
        <v>-3.1097264601702883</v>
      </c>
      <c r="N53" s="164">
        <f t="shared" si="13"/>
        <v>-1.6578530403197602</v>
      </c>
      <c r="O53" s="355" t="str">
        <f t="shared" si="12"/>
        <v>Down</v>
      </c>
      <c r="P53" s="158" t="str">
        <f t="array" ref="P53">IF(COUNT(K53:N53)&lt;2,"n/a",
IF(OR(COUNTIF(K53:N53,"&gt;0")=COUNT(K53:N53),COUNTIF(K53:N53,"&lt;0")=COUNT(K53:N53)),
 IF(COUNTIF(K53:N53,"&gt;0")=COUNT(K53:N53),"Persistent rise – ","Persistent decline – ")&amp;
 IF(ABS(N53)&gt;1.25*SUMPRODUCT(ABS(IFERROR(K53:M53*1,0)))/COUNT(K53:M53),"accelerating",
 IF(ABS(N53)&lt;0.75*SUMPRODUCT(ABS(IFERROR(K53:M53*1,0)))/COUNT(K53:M53),"decelerating","steady pace")),
 IF(SUMPRODUCT(--(IFERROR(K53:M53*L53:N53,0)&lt;0))=1,
   IF(INDEX(K53:N53,MATCH(TRUE,INDEX(ISNUMBER(K53:N53),0),0))&gt;0,"Reversing – peak ","Reversing – trough ")&amp;
   INDEX($E$4:$I$4,MATCH(IF(INDEX(K53:N53,MATCH(TRUE,INDEX(ISNUMBER(K53:N53),0),0))&gt;0,MAX(E53:I53),MIN(E53:I53)),E53:I53,0)),
   "Volatile – direction changed "&amp;SUMPRODUCT(--(IFERROR(K53:M53*L53:N53,0)&lt;0))&amp;"x")))</f>
        <v>Persistent decline – decelerating</v>
      </c>
    </row>
    <row r="54" spans="2:16" ht="14.5" customHeight="1" x14ac:dyDescent="0.35">
      <c r="B54" s="157" t="s">
        <v>137</v>
      </c>
      <c r="C54" s="157"/>
      <c r="D54" s="162"/>
      <c r="E54" s="322">
        <f>'Common Size&amp;Ratio'!E156</f>
        <v>1.7885337779474098</v>
      </c>
      <c r="F54" s="322">
        <f>'Common Size&amp;Ratio'!F156</f>
        <v>1.8540974236297818</v>
      </c>
      <c r="G54" s="322">
        <f>'Common Size&amp;Ratio'!G156</f>
        <v>2.2961069145845441</v>
      </c>
      <c r="H54" s="322">
        <f>'Common Size&amp;Ratio'!H156</f>
        <v>3.1554772774674977</v>
      </c>
      <c r="I54" s="322">
        <f>'Common Size&amp;Ratio'!I156</f>
        <v>4.5400059562217701</v>
      </c>
      <c r="J54" s="167">
        <f t="shared" ref="J54:J60" si="14">I54-E54</f>
        <v>2.7514721782743603</v>
      </c>
      <c r="K54" s="167">
        <f t="shared" ref="K54:N60" si="15">F54-E54</f>
        <v>6.5563645682372051E-2</v>
      </c>
      <c r="L54" s="167">
        <f t="shared" si="15"/>
        <v>0.44200949095476227</v>
      </c>
      <c r="M54" s="167">
        <f t="shared" si="15"/>
        <v>0.85937036288295365</v>
      </c>
      <c r="N54" s="167">
        <f t="shared" si="15"/>
        <v>1.3845286787542723</v>
      </c>
      <c r="O54" s="355" t="str">
        <f t="shared" si="12"/>
        <v>Up</v>
      </c>
      <c r="P54" s="158" t="str">
        <f t="array" ref="P54">IF(COUNT(K54:N54)&lt;2,"n/a",
IF(OR(COUNTIF(K54:N54,"&gt;0")=COUNT(K54:N54),COUNTIF(K54:N54,"&lt;0")=COUNT(K54:N54)),
 IF(COUNTIF(K54:N54,"&gt;0")=COUNT(K54:N54),"Persistent rise – ","Persistent decline – ")&amp;
 IF(ABS(N54)&gt;1.25*SUMPRODUCT(ABS(IFERROR(K54:M54*1,0)))/COUNT(K54:M54),"accelerating",
 IF(ABS(N54)&lt;0.75*SUMPRODUCT(ABS(IFERROR(K54:M54*1,0)))/COUNT(K54:M54),"decelerating","steady pace")),
 IF(SUMPRODUCT(--(IFERROR(K54:M54*L54:N54,0)&lt;0))=1,
   IF(INDEX(K54:N54,MATCH(TRUE,INDEX(ISNUMBER(K54:N54),0),0))&gt;0,"Reversing – peak ","Reversing – trough ")&amp;
   INDEX($E$4:$I$4,MATCH(IF(INDEX(K54:N54,MATCH(TRUE,INDEX(ISNUMBER(K54:N54),0),0))&gt;0,MAX(E54:I54),MIN(E54:I54)),E54:I54,0)),
   "Volatile – direction changed "&amp;SUMPRODUCT(--(IFERROR(K54:M54*L54:N54,0)&lt;0))&amp;"x")))</f>
        <v>Persistent rise – accelerating</v>
      </c>
    </row>
    <row r="55" spans="2:16" ht="14.5" customHeight="1" x14ac:dyDescent="0.35">
      <c r="B55" s="157" t="s">
        <v>259</v>
      </c>
      <c r="C55" s="157"/>
      <c r="D55" s="162"/>
      <c r="E55" s="41">
        <f>ABS('Fin Statement'!E24)</f>
        <v>2063</v>
      </c>
      <c r="F55" s="41">
        <f>ABS('Fin Statement'!F24)</f>
        <v>1968</v>
      </c>
      <c r="G55" s="41">
        <f>ABS('Fin Statement'!G24)</f>
        <v>2935</v>
      </c>
      <c r="H55" s="41">
        <f>ABS('Fin Statement'!H24)</f>
        <v>2385</v>
      </c>
      <c r="I55" s="41">
        <f>ABS('Fin Statement'!I24)</f>
        <v>3051</v>
      </c>
      <c r="J55" s="7">
        <f t="shared" si="14"/>
        <v>988</v>
      </c>
      <c r="K55" s="7">
        <f t="shared" si="15"/>
        <v>-95</v>
      </c>
      <c r="L55" s="7">
        <f t="shared" si="15"/>
        <v>967</v>
      </c>
      <c r="M55" s="7">
        <f t="shared" si="15"/>
        <v>-550</v>
      </c>
      <c r="N55" s="7">
        <f t="shared" si="15"/>
        <v>666</v>
      </c>
      <c r="O55" s="355" t="str">
        <f t="shared" si="12"/>
        <v>Up</v>
      </c>
      <c r="P55" s="158" t="str">
        <f t="array" ref="P55">IF(COUNT(K55:N55)&lt;2,"n/a",
IF(OR(COUNTIF(K55:N55,"&gt;0")=COUNT(K55:N55),COUNTIF(K55:N55,"&lt;0")=COUNT(K55:N55)),
 IF(COUNTIF(K55:N55,"&gt;0")=COUNT(K55:N55),"Persistent rise – ","Persistent decline – ")&amp;
 IF(ABS(N55)&gt;1.25*SUMPRODUCT(ABS(IFERROR(K55:M55*1,0)))/COUNT(K55:M55),"accelerating",
 IF(ABS(N55)&lt;0.75*SUMPRODUCT(ABS(IFERROR(K55:M55*1,0)))/COUNT(K55:M55),"decelerating","steady pace")),
 IF(SUMPRODUCT(--(IFERROR(K55:M55*L55:N55,0)&lt;0))=1,
   IF(INDEX(K55:N55,MATCH(TRUE,INDEX(ISNUMBER(K55:N55),0),0))&gt;0,"Reversing – peak ","Reversing – trough ")&amp;
   INDEX($E$4:$I$4,MATCH(IF(INDEX(K55:N55,MATCH(TRUE,INDEX(ISNUMBER(K55:N55),0),0))&gt;0,MAX(E55:I55),MIN(E55:I55)),E55:I55,0)),
   "Volatile – direction changed "&amp;SUMPRODUCT(--(IFERROR(K55:M55*L55:N55,0)&lt;0))&amp;"x")))</f>
        <v>Volatile – direction changed 3x</v>
      </c>
    </row>
    <row r="56" spans="2:16" ht="14.5" customHeight="1" x14ac:dyDescent="0.35">
      <c r="B56" s="157" t="s">
        <v>260</v>
      </c>
      <c r="C56" s="157"/>
      <c r="D56" s="162"/>
      <c r="E56" s="323">
        <f>'Common Size&amp;Ratio'!E157</f>
        <v>40.418322830828892</v>
      </c>
      <c r="F56" s="323">
        <f>'Common Size&amp;Ratio'!F157</f>
        <v>44.981199186991873</v>
      </c>
      <c r="G56" s="323">
        <f>'Common Size&amp;Ratio'!G157</f>
        <v>37.285519591141394</v>
      </c>
      <c r="H56" s="323">
        <f>'Common Size&amp;Ratio'!H157</f>
        <v>53.89014675052411</v>
      </c>
      <c r="I56" s="323">
        <f>'Common Size&amp;Ratio'!I157</f>
        <v>50.880694854146185</v>
      </c>
      <c r="J56" s="167">
        <f t="shared" si="14"/>
        <v>10.462372023317293</v>
      </c>
      <c r="K56" s="167">
        <f t="shared" si="15"/>
        <v>4.562876356162981</v>
      </c>
      <c r="L56" s="167">
        <f t="shared" si="15"/>
        <v>-7.6956795958504784</v>
      </c>
      <c r="M56" s="167">
        <f t="shared" si="15"/>
        <v>16.604627159382716</v>
      </c>
      <c r="N56" s="167">
        <f t="shared" si="15"/>
        <v>-3.0094518963779251</v>
      </c>
      <c r="O56" s="355" t="str">
        <f t="shared" si="12"/>
        <v>Up</v>
      </c>
      <c r="P56" s="158" t="str">
        <f t="array" ref="P56">IF(COUNT(K56:N56)&lt;2,"n/a",
IF(OR(COUNTIF(K56:N56,"&gt;0")=COUNT(K56:N56),COUNTIF(K56:N56,"&lt;0")=COUNT(K56:N56)),
 IF(COUNTIF(K56:N56,"&gt;0")=COUNT(K56:N56),"Persistent rise – ","Persistent decline – ")&amp;
 IF(ABS(N56)&gt;1.25*SUMPRODUCT(ABS(IFERROR(K56:M56*1,0)))/COUNT(K56:M56),"accelerating",
 IF(ABS(N56)&lt;0.75*SUMPRODUCT(ABS(IFERROR(K56:M56*1,0)))/COUNT(K56:M56),"decelerating","steady pace")),
 IF(SUMPRODUCT(--(IFERROR(K56:M56*L56:N56,0)&lt;0))=1,
   IF(INDEX(K56:N56,MATCH(TRUE,INDEX(ISNUMBER(K56:N56),0),0))&gt;0,"Reversing – peak ","Reversing – trough ")&amp;
   INDEX($E$4:$I$4,MATCH(IF(INDEX(K56:N56,MATCH(TRUE,INDEX(ISNUMBER(K56:N56),0),0))&gt;0,MAX(E56:I56),MIN(E56:I56)),E56:I56,0)),
   "Volatile – direction changed "&amp;SUMPRODUCT(--(IFERROR(K56:M56*L56:N56,0)&lt;0))&amp;"x")))</f>
        <v>Volatile – direction changed 3x</v>
      </c>
    </row>
    <row r="57" spans="2:16" ht="14.5" customHeight="1" x14ac:dyDescent="0.35">
      <c r="B57" s="157" t="s">
        <v>130</v>
      </c>
      <c r="C57" s="157"/>
      <c r="D57" s="162"/>
      <c r="E57" s="322">
        <f>'Common Size&amp;Ratio'!E149</f>
        <v>1.7846069708251824</v>
      </c>
      <c r="F57" s="322">
        <f>'Common Size&amp;Ratio'!F149</f>
        <v>1.7691672507657299</v>
      </c>
      <c r="G57" s="322">
        <f>'Common Size&amp;Ratio'!G149</f>
        <v>1.2749549031815206</v>
      </c>
      <c r="H57" s="322">
        <f>'Common Size&amp;Ratio'!H149</f>
        <v>1.3534464445042416</v>
      </c>
      <c r="I57" s="322">
        <f>'Common Size&amp;Ratio'!I149</f>
        <v>1.2303272619576484</v>
      </c>
      <c r="J57" s="167">
        <f t="shared" si="14"/>
        <v>-0.55427970886753397</v>
      </c>
      <c r="K57" s="167">
        <f t="shared" si="15"/>
        <v>-1.5439720059452489E-2</v>
      </c>
      <c r="L57" s="167">
        <f t="shared" si="15"/>
        <v>-0.49421234758420929</v>
      </c>
      <c r="M57" s="167">
        <f t="shared" si="15"/>
        <v>7.8491541322720959E-2</v>
      </c>
      <c r="N57" s="167">
        <f t="shared" si="15"/>
        <v>-0.12311918254659315</v>
      </c>
      <c r="O57" s="355" t="str">
        <f t="shared" si="12"/>
        <v>Down</v>
      </c>
      <c r="P57" s="158" t="str">
        <f t="array" ref="P57">IF(COUNT(K57:N57)&lt;2,"n/a",
IF(OR(COUNTIF(K57:N57,"&gt;0")=COUNT(K57:N57),COUNTIF(K57:N57,"&lt;0")=COUNT(K57:N57)),
 IF(COUNTIF(K57:N57,"&gt;0")=COUNT(K57:N57),"Persistent rise – ","Persistent decline – ")&amp;
 IF(ABS(N57)&gt;1.25*SUMPRODUCT(ABS(IFERROR(K57:M57*1,0)))/COUNT(K57:M57),"accelerating",
 IF(ABS(N57)&lt;0.75*SUMPRODUCT(ABS(IFERROR(K57:M57*1,0)))/COUNT(K57:M57),"decelerating","steady pace")),
 IF(SUMPRODUCT(--(IFERROR(K57:M57*L57:N57,0)&lt;0))=1,
   IF(INDEX(K57:N57,MATCH(TRUE,INDEX(ISNUMBER(K57:N57),0),0))&gt;0,"Reversing – peak ","Reversing – trough ")&amp;
   INDEX($E$4:$I$4,MATCH(IF(INDEX(K57:N57,MATCH(TRUE,INDEX(ISNUMBER(K57:N57),0),0))&gt;0,MAX(E57:I57),MIN(E57:I57)),E57:I57,0)),
   "Volatile – direction changed "&amp;SUMPRODUCT(--(IFERROR(K57:M57*L57:N57,0)&lt;0))&amp;"x")))</f>
        <v>Volatile – direction changed 2x</v>
      </c>
    </row>
    <row r="58" spans="2:16" ht="14.5" customHeight="1" x14ac:dyDescent="0.35">
      <c r="B58" s="157" t="s">
        <v>261</v>
      </c>
      <c r="C58" s="157"/>
      <c r="D58" s="162"/>
      <c r="E58" s="322">
        <f>'Common Size&amp;Ratio'!E151</f>
        <v>1.1017542752571465</v>
      </c>
      <c r="F58" s="322">
        <f>'Common Size&amp;Ratio'!F151</f>
        <v>1.0682963830665682</v>
      </c>
      <c r="G58" s="322">
        <f>'Common Size&amp;Ratio'!G151</f>
        <v>0.60296441741295914</v>
      </c>
      <c r="H58" s="322">
        <f>'Common Size&amp;Ratio'!H151</f>
        <v>0.66963843136144119</v>
      </c>
      <c r="I58" s="322">
        <f>'Common Size&amp;Ratio'!I151</f>
        <v>0.45516363097882423</v>
      </c>
      <c r="J58" s="167">
        <f t="shared" si="14"/>
        <v>-0.64659064427832225</v>
      </c>
      <c r="K58" s="167">
        <f t="shared" si="15"/>
        <v>-3.3457892190578375E-2</v>
      </c>
      <c r="L58" s="167">
        <f t="shared" si="15"/>
        <v>-0.46533196565360901</v>
      </c>
      <c r="M58" s="167">
        <f t="shared" si="15"/>
        <v>6.6674013948482047E-2</v>
      </c>
      <c r="N58" s="167">
        <f t="shared" si="15"/>
        <v>-0.21447480038261696</v>
      </c>
      <c r="O58" s="355" t="str">
        <f t="shared" si="12"/>
        <v>Down</v>
      </c>
      <c r="P58" s="158" t="str">
        <f t="array" ref="P58">IF(COUNT(K58:N58)&lt;2,"n/a",
IF(OR(COUNTIF(K58:N58,"&gt;0")=COUNT(K58:N58),COUNTIF(K58:N58,"&lt;0")=COUNT(K58:N58)),
 IF(COUNTIF(K58:N58,"&gt;0")=COUNT(K58:N58),"Persistent rise – ","Persistent decline – ")&amp;
 IF(ABS(N58)&gt;1.25*SUMPRODUCT(ABS(IFERROR(K58:M58*1,0)))/COUNT(K58:M58),"accelerating",
 IF(ABS(N58)&lt;0.75*SUMPRODUCT(ABS(IFERROR(K58:M58*1,0)))/COUNT(K58:M58),"decelerating","steady pace")),
 IF(SUMPRODUCT(--(IFERROR(K58:M58*L58:N58,0)&lt;0))=1,
   IF(INDEX(K58:N58,MATCH(TRUE,INDEX(ISNUMBER(K58:N58),0),0))&gt;0,"Reversing – peak ","Reversing – trough ")&amp;
   INDEX($E$4:$I$4,MATCH(IF(INDEX(K58:N58,MATCH(TRUE,INDEX(ISNUMBER(K58:N58),0),0))&gt;0,MAX(E58:I58),MIN(E58:I58)),E58:I58,0)),
   "Volatile – direction changed "&amp;SUMPRODUCT(--(IFERROR(K58:M58*L58:N58,0)&lt;0))&amp;"x")))</f>
        <v>Volatile – direction changed 2x</v>
      </c>
    </row>
    <row r="59" spans="2:16" ht="14.5" customHeight="1" x14ac:dyDescent="0.35">
      <c r="B59" s="157" t="s">
        <v>262</v>
      </c>
      <c r="C59" s="157"/>
      <c r="D59" s="162"/>
      <c r="E59" s="41">
        <f>'Fin Statement'!E76</f>
        <v>-9023</v>
      </c>
      <c r="F59" s="41">
        <f>'Fin Statement'!F76</f>
        <v>-2750</v>
      </c>
      <c r="G59" s="41">
        <f>'Fin Statement'!G76</f>
        <v>575</v>
      </c>
      <c r="H59" s="41">
        <f>'Fin Statement'!H76</f>
        <v>-8962</v>
      </c>
      <c r="I59" s="41">
        <f>'Fin Statement'!I76</f>
        <v>-3000</v>
      </c>
      <c r="J59" s="7">
        <f t="shared" si="14"/>
        <v>6023</v>
      </c>
      <c r="K59" s="7">
        <f t="shared" si="15"/>
        <v>6273</v>
      </c>
      <c r="L59" s="7">
        <f t="shared" si="15"/>
        <v>3325</v>
      </c>
      <c r="M59" s="7">
        <f t="shared" si="15"/>
        <v>-9537</v>
      </c>
      <c r="N59" s="7">
        <f t="shared" si="15"/>
        <v>5962</v>
      </c>
      <c r="O59" s="355" t="str">
        <f t="shared" si="12"/>
        <v>Up</v>
      </c>
      <c r="P59" s="158" t="str">
        <f t="array" ref="P59">IF(COUNT(K59:N59)&lt;2,"n/a",
IF(OR(COUNTIF(K59:N59,"&gt;0")=COUNT(K59:N59),COUNTIF(K59:N59,"&lt;0")=COUNT(K59:N59)),
 IF(COUNTIF(K59:N59,"&gt;0")=COUNT(K59:N59),"Persistent rise – ","Persistent decline – ")&amp;
 IF(ABS(N59)&gt;1.25*SUMPRODUCT(ABS(IFERROR(K59:M59*1,0)))/COUNT(K59:M59),"accelerating",
 IF(ABS(N59)&lt;0.75*SUMPRODUCT(ABS(IFERROR(K59:M59*1,0)))/COUNT(K59:M59),"decelerating","steady pace")),
 IF(SUMPRODUCT(--(IFERROR(K59:M59*L59:N59,0)&lt;0))=1,
   IF(INDEX(K59:N59,MATCH(TRUE,INDEX(ISNUMBER(K59:N59),0),0))&gt;0,"Reversing – peak ","Reversing – trough ")&amp;
   INDEX($E$4:$I$4,MATCH(IF(INDEX(K59:N59,MATCH(TRUE,INDEX(ISNUMBER(K59:N59),0),0))&gt;0,MAX(E59:I59),MIN(E59:I59)),E59:I59,0)),
   "Volatile – direction changed "&amp;SUMPRODUCT(--(IFERROR(K59:M59*L59:N59,0)&lt;0))&amp;"x")))</f>
        <v>Volatile – direction changed 2x</v>
      </c>
    </row>
    <row r="60" spans="2:16" ht="14.5" customHeight="1" x14ac:dyDescent="0.35">
      <c r="B60" s="157" t="s">
        <v>263</v>
      </c>
      <c r="C60" s="157"/>
      <c r="D60" s="162"/>
      <c r="E60" s="41">
        <f>'Fin Statement'!E77</f>
        <v>-30855</v>
      </c>
      <c r="F60" s="41">
        <f>'Fin Statement'!F77</f>
        <v>-20379</v>
      </c>
      <c r="G60" s="41">
        <f>'Fin Statement'!G77</f>
        <v>-15252</v>
      </c>
      <c r="H60" s="41">
        <f>'Fin Statement'!H77</f>
        <v>-16364</v>
      </c>
      <c r="I60" s="41">
        <f>'Fin Statement'!I77</f>
        <v>-20262</v>
      </c>
      <c r="J60" s="7">
        <f t="shared" si="14"/>
        <v>10593</v>
      </c>
      <c r="K60" s="7">
        <f t="shared" si="15"/>
        <v>10476</v>
      </c>
      <c r="L60" s="7">
        <f t="shared" si="15"/>
        <v>5127</v>
      </c>
      <c r="M60" s="7">
        <f t="shared" si="15"/>
        <v>-1112</v>
      </c>
      <c r="N60" s="7">
        <f t="shared" si="15"/>
        <v>-3898</v>
      </c>
      <c r="O60" s="355" t="str">
        <f t="shared" si="12"/>
        <v>Up</v>
      </c>
      <c r="P60" s="158" t="str">
        <f t="array" ref="P60">IF(COUNT(K60:N60)&lt;2,"n/a",
IF(OR(COUNTIF(K60:N60,"&gt;0")=COUNT(K60:N60),COUNTIF(K60:N60,"&lt;0")=COUNT(K60:N60)),
 IF(COUNTIF(K60:N60,"&gt;0")=COUNT(K60:N60),"Persistent rise – ","Persistent decline – ")&amp;
 IF(ABS(N60)&gt;1.25*SUMPRODUCT(ABS(IFERROR(K60:M60*1,0)))/COUNT(K60:M60),"accelerating",
 IF(ABS(N60)&lt;0.75*SUMPRODUCT(ABS(IFERROR(K60:M60*1,0)))/COUNT(K60:M60),"decelerating","steady pace")),
 IF(SUMPRODUCT(--(IFERROR(K60:M60*L60:N60,0)&lt;0))=1,
   IF(INDEX(K60:N60,MATCH(TRUE,INDEX(ISNUMBER(K60:N60),0),0))&gt;0,"Reversing – peak ","Reversing – trough ")&amp;
   INDEX($E$4:$I$4,MATCH(IF(INDEX(K60:N60,MATCH(TRUE,INDEX(ISNUMBER(K60:N60),0),0))&gt;0,MAX(E60:I60),MIN(E60:I60)),E60:I60,0)),
   "Volatile – direction changed "&amp;SUMPRODUCT(--(IFERROR(K60:M60*L60:N60,0)&lt;0))&amp;"x")))</f>
        <v>Reversing – peak 2024</v>
      </c>
    </row>
    <row r="61" spans="2:16" ht="14.5" customHeight="1" x14ac:dyDescent="0.35">
      <c r="J61" s="158"/>
      <c r="K61" s="158"/>
      <c r="L61" s="158"/>
      <c r="M61" s="158"/>
      <c r="N61" s="158"/>
      <c r="P61" s="158"/>
    </row>
    <row r="62" spans="2:16" ht="14.5" customHeight="1" x14ac:dyDescent="0.35">
      <c r="B62" s="160" t="s">
        <v>264</v>
      </c>
      <c r="C62" s="160"/>
      <c r="D62" s="160"/>
      <c r="J62" s="158"/>
      <c r="K62" s="158"/>
      <c r="L62" s="158"/>
      <c r="M62" s="158"/>
      <c r="N62" s="158"/>
      <c r="P62" s="158"/>
    </row>
    <row r="63" spans="2:16" ht="14.5" customHeight="1" x14ac:dyDescent="0.35">
      <c r="B63" s="157" t="s">
        <v>265</v>
      </c>
      <c r="C63" s="157"/>
      <c r="D63" s="162"/>
      <c r="E63" s="41">
        <f>'Fin Statement'!E35</f>
        <v>63364</v>
      </c>
      <c r="F63" s="41">
        <f>'Fin Statement'!F35</f>
        <v>94151</v>
      </c>
      <c r="G63" s="41">
        <f>'Fin Statement'!G35</f>
        <v>106820</v>
      </c>
      <c r="H63" s="41">
        <f>'Fin Statement'!H35</f>
        <v>120810</v>
      </c>
      <c r="I63" s="41">
        <f>'Fin Statement'!I35</f>
        <v>139996</v>
      </c>
      <c r="J63" s="7">
        <f t="shared" ref="J63:J68" si="16">(I63-E63)</f>
        <v>76632</v>
      </c>
      <c r="K63" s="7">
        <f t="shared" ref="K63:N68" si="17">(F63-E63)</f>
        <v>30787</v>
      </c>
      <c r="L63" s="7">
        <f t="shared" si="17"/>
        <v>12669</v>
      </c>
      <c r="M63" s="7">
        <f t="shared" si="17"/>
        <v>13990</v>
      </c>
      <c r="N63" s="7">
        <f t="shared" si="17"/>
        <v>19186</v>
      </c>
      <c r="O63" s="355" t="str">
        <f t="shared" ref="O63:O87" si="18">IF(J63&gt;0,"Up",IF(J63&lt;0,"Down","Flat"))</f>
        <v>Up</v>
      </c>
      <c r="P63" s="158" t="str">
        <f t="array" ref="P63">IF(COUNT(K63:N63)&lt;2,"n/a",
IF(OR(COUNTIF(K63:N63,"&gt;0")=COUNT(K63:N63),COUNTIF(K63:N63,"&lt;0")=COUNT(K63:N63)),
 IF(COUNTIF(K63:N63,"&gt;0")=COUNT(K63:N63),"Persistent rise – ","Persistent decline – ")&amp;
 IF(ABS(N63)&gt;1.25*SUMPRODUCT(ABS(IFERROR(K63:M63*1,0)))/COUNT(K63:M63),"accelerating",
 IF(ABS(N63)&lt;0.75*SUMPRODUCT(ABS(IFERROR(K63:M63*1,0)))/COUNT(K63:M63),"decelerating","steady pace")),
 IF(SUMPRODUCT(--(IFERROR(K63:M63*L63:N63,0)&lt;0))=1,
   IF(INDEX(K63:N63,MATCH(TRUE,INDEX(ISNUMBER(K63:N63),0),0))&gt;0,"Reversing – peak ","Reversing – trough ")&amp;
   INDEX($E$4:$I$4,MATCH(IF(INDEX(K63:N63,MATCH(TRUE,INDEX(ISNUMBER(K63:N63),0),0))&gt;0,MAX(E63:I63),MIN(E63:I63)),E63:I63,0)),
   "Volatile – direction changed "&amp;SUMPRODUCT(--(IFERROR(K63:M63*L63:N63,0)&lt;0))&amp;"x")))</f>
        <v>Persistent rise – steady pace</v>
      </c>
    </row>
    <row r="64" spans="2:16" ht="14.5" customHeight="1" x14ac:dyDescent="0.35">
      <c r="B64" s="157" t="s">
        <v>266</v>
      </c>
      <c r="C64" s="157"/>
      <c r="D64" s="162"/>
      <c r="E64" s="41">
        <f>'Fin Statement'!E36</f>
        <v>74965</v>
      </c>
      <c r="F64" s="41">
        <f>'Fin Statement'!F36</f>
        <v>72944</v>
      </c>
      <c r="G64" s="41">
        <f>'Fin Statement'!G36</f>
        <v>87464</v>
      </c>
      <c r="H64" s="41">
        <f>'Fin Statement'!H36</f>
        <v>106265</v>
      </c>
      <c r="I64" s="41">
        <f>'Fin Statement'!I36</f>
        <v>137791</v>
      </c>
      <c r="J64" s="7">
        <f t="shared" si="16"/>
        <v>62826</v>
      </c>
      <c r="K64" s="7">
        <f t="shared" si="17"/>
        <v>-2021</v>
      </c>
      <c r="L64" s="7">
        <f t="shared" si="17"/>
        <v>14520</v>
      </c>
      <c r="M64" s="7">
        <f t="shared" si="17"/>
        <v>18801</v>
      </c>
      <c r="N64" s="7">
        <f t="shared" si="17"/>
        <v>31526</v>
      </c>
      <c r="O64" s="355" t="str">
        <f t="shared" si="18"/>
        <v>Up</v>
      </c>
      <c r="P64" s="158" t="str">
        <f t="array" ref="P64">IF(COUNT(K64:N64)&lt;2,"n/a",
IF(OR(COUNTIF(K64:N64,"&gt;0")=COUNT(K64:N64),COUNTIF(K64:N64,"&lt;0")=COUNT(K64:N64)),
 IF(COUNTIF(K64:N64,"&gt;0")=COUNT(K64:N64),"Persistent rise – ","Persistent decline – ")&amp;
 IF(ABS(N64)&gt;1.25*SUMPRODUCT(ABS(IFERROR(K64:M64*1,0)))/COUNT(K64:M64),"accelerating",
 IF(ABS(N64)&lt;0.75*SUMPRODUCT(ABS(IFERROR(K64:M64*1,0)))/COUNT(K64:M64),"decelerating","steady pace")),
 IF(SUMPRODUCT(--(IFERROR(K64:M64*L64:N64,0)&lt;0))=1,
   IF(INDEX(K64:N64,MATCH(TRUE,INDEX(ISNUMBER(K64:N64),0),0))&gt;0,"Reversing – peak ","Reversing – trough ")&amp;
   INDEX($E$4:$I$4,MATCH(IF(INDEX(K64:N64,MATCH(TRUE,INDEX(ISNUMBER(K64:N64),0),0))&gt;0,MAX(E64:I64),MIN(E64:I64)),E64:I64,0)),
   "Volatile – direction changed "&amp;SUMPRODUCT(--(IFERROR(K64:M64*L64:N64,0)&lt;0))&amp;"x")))</f>
        <v>Reversing – trough 2023</v>
      </c>
    </row>
    <row r="65" spans="2:16" ht="14.5" customHeight="1" x14ac:dyDescent="0.35">
      <c r="B65" s="157" t="s">
        <v>267</v>
      </c>
      <c r="C65" s="157"/>
      <c r="D65" s="162"/>
      <c r="E65" s="41">
        <f>'Fin Statement'!E37</f>
        <v>59941</v>
      </c>
      <c r="F65" s="41">
        <f>'Fin Statement'!F37</f>
        <v>44820</v>
      </c>
      <c r="G65" s="41">
        <f>'Fin Statement'!G37</f>
        <v>50838</v>
      </c>
      <c r="H65" s="41">
        <f>'Fin Statement'!H37</f>
        <v>54649</v>
      </c>
      <c r="I65" s="41">
        <f>'Fin Statement'!I37</f>
        <v>54052</v>
      </c>
      <c r="J65" s="7">
        <f t="shared" si="16"/>
        <v>-5889</v>
      </c>
      <c r="K65" s="7">
        <f t="shared" si="17"/>
        <v>-15121</v>
      </c>
      <c r="L65" s="7">
        <f t="shared" si="17"/>
        <v>6018</v>
      </c>
      <c r="M65" s="7">
        <f t="shared" si="17"/>
        <v>3811</v>
      </c>
      <c r="N65" s="7">
        <f t="shared" si="17"/>
        <v>-597</v>
      </c>
      <c r="O65" s="355" t="str">
        <f t="shared" si="18"/>
        <v>Down</v>
      </c>
      <c r="P65" s="158" t="str">
        <f t="array" ref="P65">IF(COUNT(K65:N65)&lt;2,"n/a",
IF(OR(COUNTIF(K65:N65,"&gt;0")=COUNT(K65:N65),COUNTIF(K65:N65,"&lt;0")=COUNT(K65:N65)),
 IF(COUNTIF(K65:N65,"&gt;0")=COUNT(K65:N65),"Persistent rise – ","Persistent decline – ")&amp;
 IF(ABS(N65)&gt;1.25*SUMPRODUCT(ABS(IFERROR(K65:M65*1,0)))/COUNT(K65:M65),"accelerating",
 IF(ABS(N65)&lt;0.75*SUMPRODUCT(ABS(IFERROR(K65:M65*1,0)))/COUNT(K65:M65),"decelerating","steady pace")),
 IF(SUMPRODUCT(--(IFERROR(K65:M65*L65:N65,0)&lt;0))=1,
   IF(INDEX(K65:N65,MATCH(TRUE,INDEX(ISNUMBER(K65:N65),0),0))&gt;0,"Reversing – peak ","Reversing – trough ")&amp;
   INDEX($E$4:$I$4,MATCH(IF(INDEX(K65:N65,MATCH(TRUE,INDEX(ISNUMBER(K65:N65),0),0))&gt;0,MAX(E65:I65),MIN(E65:I65)),E65:I65,0)),
   "Volatile – direction changed "&amp;SUMPRODUCT(--(IFERROR(K65:M65*L65:N65,0)&lt;0))&amp;"x")))</f>
        <v>Volatile – direction changed 2x</v>
      </c>
    </row>
    <row r="66" spans="2:16" ht="14.5" customHeight="1" x14ac:dyDescent="0.35">
      <c r="B66" s="157" t="s">
        <v>268</v>
      </c>
      <c r="C66" s="157"/>
      <c r="D66" s="162"/>
      <c r="E66" s="41">
        <f>'Fin Statement'!E41</f>
        <v>29690</v>
      </c>
      <c r="F66" s="41">
        <f>'Fin Statement'!F41</f>
        <v>50074</v>
      </c>
      <c r="G66" s="41">
        <f>'Fin Statement'!G41</f>
        <v>59661</v>
      </c>
      <c r="H66" s="41">
        <f>'Fin Statement'!H41</f>
        <v>69773</v>
      </c>
      <c r="I66" s="41">
        <f>'Fin Statement'!I41</f>
        <v>83879</v>
      </c>
      <c r="J66" s="7">
        <f t="shared" si="16"/>
        <v>54189</v>
      </c>
      <c r="K66" s="7">
        <f t="shared" si="17"/>
        <v>20384</v>
      </c>
      <c r="L66" s="7">
        <f t="shared" si="17"/>
        <v>9587</v>
      </c>
      <c r="M66" s="7">
        <f t="shared" si="17"/>
        <v>10112</v>
      </c>
      <c r="N66" s="7">
        <f t="shared" si="17"/>
        <v>14106</v>
      </c>
      <c r="O66" s="355" t="str">
        <f t="shared" si="18"/>
        <v>Up</v>
      </c>
      <c r="P66" s="158" t="str">
        <f t="array" ref="P66">IF(COUNT(K66:N66)&lt;2,"n/a",
IF(OR(COUNTIF(K66:N66,"&gt;0")=COUNT(K66:N66),COUNTIF(K66:N66,"&lt;0")=COUNT(K66:N66)),
 IF(COUNTIF(K66:N66,"&gt;0")=COUNT(K66:N66),"Persistent rise – ","Persistent decline – ")&amp;
 IF(ABS(N66)&gt;1.25*SUMPRODUCT(ABS(IFERROR(K66:M66*1,0)))/COUNT(K66:M66),"accelerating",
 IF(ABS(N66)&lt;0.75*SUMPRODUCT(ABS(IFERROR(K66:M66*1,0)))/COUNT(K66:M66),"decelerating","steady pace")),
 IF(SUMPRODUCT(--(IFERROR(K66:M66*L66:N66,0)&lt;0))=1,
   IF(INDEX(K66:N66,MATCH(TRUE,INDEX(ISNUMBER(K66:N66),0),0))&gt;0,"Reversing – peak ","Reversing – trough ")&amp;
   INDEX($E$4:$I$4,MATCH(IF(INDEX(K66:N66,MATCH(TRUE,INDEX(ISNUMBER(K66:N66),0),0))&gt;0,MAX(E66:I66),MIN(E66:I66)),E66:I66,0)),
   "Volatile – direction changed "&amp;SUMPRODUCT(--(IFERROR(K66:M66*L66:N66,0)&lt;0))&amp;"x")))</f>
        <v>Persistent rise – steady pace</v>
      </c>
    </row>
    <row r="67" spans="2:16" ht="14.5" customHeight="1" x14ac:dyDescent="0.35">
      <c r="B67" s="157" t="s">
        <v>269</v>
      </c>
      <c r="C67" s="157"/>
      <c r="D67" s="162"/>
      <c r="E67" s="41">
        <f>'Fin Statement'!E42</f>
        <v>33203</v>
      </c>
      <c r="F67" s="41">
        <f>'Fin Statement'!F42</f>
        <v>28411</v>
      </c>
      <c r="G67" s="41">
        <f>'Fin Statement'!G42</f>
        <v>37813</v>
      </c>
      <c r="H67" s="41">
        <f>'Fin Statement'!H42</f>
        <v>44589</v>
      </c>
      <c r="I67" s="41">
        <f>'Fin Statement'!I42</f>
        <v>56972</v>
      </c>
      <c r="J67" s="7">
        <f t="shared" si="16"/>
        <v>23769</v>
      </c>
      <c r="K67" s="7">
        <f t="shared" si="17"/>
        <v>-4792</v>
      </c>
      <c r="L67" s="7">
        <f t="shared" si="17"/>
        <v>9402</v>
      </c>
      <c r="M67" s="7">
        <f t="shared" si="17"/>
        <v>6776</v>
      </c>
      <c r="N67" s="7">
        <f t="shared" si="17"/>
        <v>12383</v>
      </c>
      <c r="O67" s="355" t="str">
        <f t="shared" si="18"/>
        <v>Up</v>
      </c>
      <c r="P67" s="158" t="str">
        <f t="array" ref="P67">IF(COUNT(K67:N67)&lt;2,"n/a",
IF(OR(COUNTIF(K67:N67,"&gt;0")=COUNT(K67:N67),COUNTIF(K67:N67,"&lt;0")=COUNT(K67:N67)),
 IF(COUNTIF(K67:N67,"&gt;0")=COUNT(K67:N67),"Persistent rise – ","Persistent decline – ")&amp;
 IF(ABS(N67)&gt;1.25*SUMPRODUCT(ABS(IFERROR(K67:M67*1,0)))/COUNT(K67:M67),"accelerating",
 IF(ABS(N67)&lt;0.75*SUMPRODUCT(ABS(IFERROR(K67:M67*1,0)))/COUNT(K67:M67),"decelerating","steady pace")),
 IF(SUMPRODUCT(--(IFERROR(K67:M67*L67:N67,0)&lt;0))=1,
   IF(INDEX(K67:N67,MATCH(TRUE,INDEX(ISNUMBER(K67:N67),0),0))&gt;0,"Reversing – peak ","Reversing – trough ")&amp;
   INDEX($E$4:$I$4,MATCH(IF(INDEX(K67:N67,MATCH(TRUE,INDEX(ISNUMBER(K67:N67),0),0))&gt;0,MAX(E67:I67),MIN(E67:I67)),E67:I67,0)),
   "Volatile – direction changed "&amp;SUMPRODUCT(--(IFERROR(K67:M67*L67:N67,0)&lt;0))&amp;"x")))</f>
        <v>Reversing – trough 2023</v>
      </c>
    </row>
    <row r="68" spans="2:16" ht="14.5" customHeight="1" x14ac:dyDescent="0.35">
      <c r="B68" s="157" t="s">
        <v>270</v>
      </c>
      <c r="C68" s="157"/>
      <c r="D68" s="162"/>
      <c r="E68" s="41">
        <f>'Fin Statement'!E43</f>
        <v>20490</v>
      </c>
      <c r="F68" s="41">
        <f>'Fin Statement'!F43</f>
        <v>10038</v>
      </c>
      <c r="G68" s="41">
        <f>'Fin Statement'!G43</f>
        <v>11959</v>
      </c>
      <c r="H68" s="41">
        <f>'Fin Statement'!H43</f>
        <v>14166</v>
      </c>
      <c r="I68" s="41">
        <f>'Fin Statement'!I43</f>
        <v>14386</v>
      </c>
      <c r="J68" s="7">
        <f t="shared" si="16"/>
        <v>-6104</v>
      </c>
      <c r="K68" s="7">
        <f t="shared" si="17"/>
        <v>-10452</v>
      </c>
      <c r="L68" s="7">
        <f t="shared" si="17"/>
        <v>1921</v>
      </c>
      <c r="M68" s="7">
        <f t="shared" si="17"/>
        <v>2207</v>
      </c>
      <c r="N68" s="7">
        <f t="shared" si="17"/>
        <v>220</v>
      </c>
      <c r="O68" s="355" t="str">
        <f t="shared" si="18"/>
        <v>Down</v>
      </c>
      <c r="P68" s="158" t="str">
        <f t="array" ref="P68">IF(COUNT(K68:N68)&lt;2,"n/a",
IF(OR(COUNTIF(K68:N68,"&gt;0")=COUNT(K68:N68),COUNTIF(K68:N68,"&lt;0")=COUNT(K68:N68)),
 IF(COUNTIF(K68:N68,"&gt;0")=COUNT(K68:N68),"Persistent rise – ","Persistent decline – ")&amp;
 IF(ABS(N68)&gt;1.25*SUMPRODUCT(ABS(IFERROR(K68:M68*1,0)))/COUNT(K68:M68),"accelerating",
 IF(ABS(N68)&lt;0.75*SUMPRODUCT(ABS(IFERROR(K68:M68*1,0)))/COUNT(K68:M68),"decelerating","steady pace")),
 IF(SUMPRODUCT(--(IFERROR(K68:M68*L68:N68,0)&lt;0))=1,
   IF(INDEX(K68:N68,MATCH(TRUE,INDEX(ISNUMBER(K68:N68),0),0))&gt;0,"Reversing – peak ","Reversing – trough ")&amp;
   INDEX($E$4:$I$4,MATCH(IF(INDEX(K68:N68,MATCH(TRUE,INDEX(ISNUMBER(K68:N68),0),0))&gt;0,MAX(E68:I68),MIN(E68:I68)),E68:I68,0)),
   "Volatile – direction changed "&amp;SUMPRODUCT(--(IFERROR(K68:M68*L68:N68,0)&lt;0))&amp;"x")))</f>
        <v>Reversing – trough 2023</v>
      </c>
    </row>
    <row r="69" spans="2:16" ht="14.5" customHeight="1" x14ac:dyDescent="0.35">
      <c r="B69" s="157" t="s">
        <v>271</v>
      </c>
      <c r="C69" s="157"/>
      <c r="D69" s="162"/>
      <c r="E69" s="19">
        <f t="shared" ref="E69:I74" si="19">IF(OR(D63="",E63=""),,E63/D63-1)</f>
        <v>0</v>
      </c>
      <c r="F69" s="19">
        <f t="shared" si="19"/>
        <v>0.48587526040022722</v>
      </c>
      <c r="G69" s="19">
        <f t="shared" si="19"/>
        <v>0.13456044014402391</v>
      </c>
      <c r="H69" s="19">
        <f t="shared" si="19"/>
        <v>0.13096798352368477</v>
      </c>
      <c r="I69" s="19">
        <f t="shared" si="19"/>
        <v>0.15881135667577184</v>
      </c>
      <c r="J69" s="164">
        <f t="shared" ref="J69:J87" si="20">(I69-E69)*100</f>
        <v>15.881135667577183</v>
      </c>
      <c r="K69" s="164">
        <f t="shared" ref="K69:N87" si="21">(F69-E69)*100</f>
        <v>48.587526040022723</v>
      </c>
      <c r="L69" s="164">
        <f t="shared" si="21"/>
        <v>-35.131482025620329</v>
      </c>
      <c r="M69" s="164">
        <f t="shared" si="21"/>
        <v>-0.3592456620339135</v>
      </c>
      <c r="N69" s="164">
        <f t="shared" si="21"/>
        <v>2.784337315208707</v>
      </c>
      <c r="O69" s="355" t="str">
        <f t="shared" si="18"/>
        <v>Up</v>
      </c>
      <c r="P69" s="158" t="str">
        <f t="array" ref="P69">IF(COUNT(K69:N69)&lt;2,"n/a",
IF(OR(COUNTIF(K69:N69,"&gt;0")=COUNT(K69:N69),COUNTIF(K69:N69,"&lt;0")=COUNT(K69:N69)),
 IF(COUNTIF(K69:N69,"&gt;0")=COUNT(K69:N69),"Persistent rise – ","Persistent decline – ")&amp;
 IF(ABS(N69)&gt;1.25*SUMPRODUCT(ABS(IFERROR(K69:M69*1,0)))/COUNT(K69:M69),"accelerating",
 IF(ABS(N69)&lt;0.75*SUMPRODUCT(ABS(IFERROR(K69:M69*1,0)))/COUNT(K69:M69),"decelerating","steady pace")),
 IF(SUMPRODUCT(--(IFERROR(K69:M69*L69:N69,0)&lt;0))=1,
   IF(INDEX(K69:N69,MATCH(TRUE,INDEX(ISNUMBER(K69:N69),0),0))&gt;0,"Reversing – peak ","Reversing – trough ")&amp;
   INDEX($E$4:$I$4,MATCH(IF(INDEX(K69:N69,MATCH(TRUE,INDEX(ISNUMBER(K69:N69),0),0))&gt;0,MAX(E69:I69),MIN(E69:I69)),E69:I69,0)),
   "Volatile – direction changed "&amp;SUMPRODUCT(--(IFERROR(K69:M69*L69:N69,0)&lt;0))&amp;"x")))</f>
        <v>Volatile – direction changed 2x</v>
      </c>
    </row>
    <row r="70" spans="2:16" ht="14.5" customHeight="1" x14ac:dyDescent="0.35">
      <c r="B70" s="157" t="s">
        <v>272</v>
      </c>
      <c r="C70" s="157"/>
      <c r="D70" s="162"/>
      <c r="E70" s="19">
        <f t="shared" si="19"/>
        <v>0</v>
      </c>
      <c r="F70" s="19">
        <f t="shared" si="19"/>
        <v>-2.6959247648902784E-2</v>
      </c>
      <c r="G70" s="19">
        <f t="shared" si="19"/>
        <v>0.19905681070410175</v>
      </c>
      <c r="H70" s="19">
        <f t="shared" si="19"/>
        <v>0.21495701088447827</v>
      </c>
      <c r="I70" s="19">
        <f t="shared" si="19"/>
        <v>0.29667341081259124</v>
      </c>
      <c r="J70" s="164">
        <f t="shared" si="20"/>
        <v>29.667341081259124</v>
      </c>
      <c r="K70" s="164">
        <f t="shared" si="21"/>
        <v>-2.6959247648902784</v>
      </c>
      <c r="L70" s="164">
        <f t="shared" si="21"/>
        <v>22.601605835300454</v>
      </c>
      <c r="M70" s="164">
        <f t="shared" si="21"/>
        <v>1.5900200180376522</v>
      </c>
      <c r="N70" s="164">
        <f t="shared" si="21"/>
        <v>8.171639992811297</v>
      </c>
      <c r="O70" s="355" t="str">
        <f t="shared" si="18"/>
        <v>Up</v>
      </c>
      <c r="P70" s="158" t="str">
        <f t="array" ref="P70">IF(COUNT(K70:N70)&lt;2,"n/a",
IF(OR(COUNTIF(K70:N70,"&gt;0")=COUNT(K70:N70),COUNTIF(K70:N70,"&lt;0")=COUNT(K70:N70)),
 IF(COUNTIF(K70:N70,"&gt;0")=COUNT(K70:N70),"Persistent rise – ","Persistent decline – ")&amp;
 IF(ABS(N70)&gt;1.25*SUMPRODUCT(ABS(IFERROR(K70:M70*1,0)))/COUNT(K70:M70),"accelerating",
 IF(ABS(N70)&lt;0.75*SUMPRODUCT(ABS(IFERROR(K70:M70*1,0)))/COUNT(K70:M70),"decelerating","steady pace")),
 IF(SUMPRODUCT(--(IFERROR(K70:M70*L70:N70,0)&lt;0))=1,
   IF(INDEX(K70:N70,MATCH(TRUE,INDEX(ISNUMBER(K70:N70),0),0))&gt;0,"Reversing – peak ","Reversing – trough ")&amp;
   INDEX($E$4:$I$4,MATCH(IF(INDEX(K70:N70,MATCH(TRUE,INDEX(ISNUMBER(K70:N70),0),0))&gt;0,MAX(E70:I70),MIN(E70:I70)),E70:I70,0)),
   "Volatile – direction changed "&amp;SUMPRODUCT(--(IFERROR(K70:M70*L70:N70,0)&lt;0))&amp;"x")))</f>
        <v>Reversing – trough 2023</v>
      </c>
    </row>
    <row r="71" spans="2:16" ht="14.5" customHeight="1" x14ac:dyDescent="0.35">
      <c r="B71" s="157" t="s">
        <v>273</v>
      </c>
      <c r="C71" s="157"/>
      <c r="D71" s="162"/>
      <c r="E71" s="19">
        <f t="shared" si="19"/>
        <v>0</v>
      </c>
      <c r="F71" s="19">
        <f t="shared" si="19"/>
        <v>-0.25226472698153179</v>
      </c>
      <c r="G71" s="19">
        <f t="shared" si="19"/>
        <v>0.1342704149933065</v>
      </c>
      <c r="H71" s="19">
        <f t="shared" si="19"/>
        <v>7.4963609898107686E-2</v>
      </c>
      <c r="I71" s="19">
        <f t="shared" si="19"/>
        <v>-1.092426210909625E-2</v>
      </c>
      <c r="J71" s="164">
        <f t="shared" si="20"/>
        <v>-1.092426210909625</v>
      </c>
      <c r="K71" s="164">
        <f t="shared" si="21"/>
        <v>-25.226472698153181</v>
      </c>
      <c r="L71" s="164">
        <f t="shared" si="21"/>
        <v>38.65351419748383</v>
      </c>
      <c r="M71" s="164">
        <f t="shared" si="21"/>
        <v>-5.9306805095198811</v>
      </c>
      <c r="N71" s="164">
        <f t="shared" si="21"/>
        <v>-8.5887872007203931</v>
      </c>
      <c r="O71" s="355" t="str">
        <f t="shared" si="18"/>
        <v>Down</v>
      </c>
      <c r="P71" s="158" t="str">
        <f t="array" ref="P71">IF(COUNT(K71:N71)&lt;2,"n/a",
IF(OR(COUNTIF(K71:N71,"&gt;0")=COUNT(K71:N71),COUNTIF(K71:N71,"&lt;0")=COUNT(K71:N71)),
 IF(COUNTIF(K71:N71,"&gt;0")=COUNT(K71:N71),"Persistent rise – ","Persistent decline – ")&amp;
 IF(ABS(N71)&gt;1.25*SUMPRODUCT(ABS(IFERROR(K71:M71*1,0)))/COUNT(K71:M71),"accelerating",
 IF(ABS(N71)&lt;0.75*SUMPRODUCT(ABS(IFERROR(K71:M71*1,0)))/COUNT(K71:M71),"decelerating","steady pace")),
 IF(SUMPRODUCT(--(IFERROR(K71:M71*L71:N71,0)&lt;0))=1,
   IF(INDEX(K71:N71,MATCH(TRUE,INDEX(ISNUMBER(K71:N71),0),0))&gt;0,"Reversing – peak ","Reversing – trough ")&amp;
   INDEX($E$4:$I$4,MATCH(IF(INDEX(K71:N71,MATCH(TRUE,INDEX(ISNUMBER(K71:N71),0),0))&gt;0,MAX(E71:I71),MIN(E71:I71)),E71:I71,0)),
   "Volatile – direction changed "&amp;SUMPRODUCT(--(IFERROR(K71:M71*L71:N71,0)&lt;0))&amp;"x")))</f>
        <v>Volatile – direction changed 2x</v>
      </c>
    </row>
    <row r="72" spans="2:16" ht="14.5" customHeight="1" x14ac:dyDescent="0.35">
      <c r="B72" s="157" t="s">
        <v>274</v>
      </c>
      <c r="C72" s="157"/>
      <c r="D72" s="162"/>
      <c r="E72" s="19">
        <f t="shared" si="19"/>
        <v>0</v>
      </c>
      <c r="F72" s="19">
        <f t="shared" si="19"/>
        <v>0.6865611316941731</v>
      </c>
      <c r="G72" s="19">
        <f t="shared" si="19"/>
        <v>0.19145664416663344</v>
      </c>
      <c r="H72" s="19">
        <f t="shared" si="19"/>
        <v>0.16949095724174912</v>
      </c>
      <c r="I72" s="19">
        <f t="shared" si="19"/>
        <v>0.20216989379846062</v>
      </c>
      <c r="J72" s="164">
        <f t="shared" si="20"/>
        <v>20.216989379846062</v>
      </c>
      <c r="K72" s="164">
        <f t="shared" si="21"/>
        <v>68.65611316941731</v>
      </c>
      <c r="L72" s="164">
        <f t="shared" si="21"/>
        <v>-49.510448752753966</v>
      </c>
      <c r="M72" s="164">
        <f t="shared" si="21"/>
        <v>-2.196568692488432</v>
      </c>
      <c r="N72" s="164">
        <f t="shared" si="21"/>
        <v>3.2678936556711502</v>
      </c>
      <c r="O72" s="355" t="str">
        <f t="shared" si="18"/>
        <v>Up</v>
      </c>
      <c r="P72" s="158" t="str">
        <f t="array" ref="P72">IF(COUNT(K72:N72)&lt;2,"n/a",
IF(OR(COUNTIF(K72:N72,"&gt;0")=COUNT(K72:N72),COUNTIF(K72:N72,"&lt;0")=COUNT(K72:N72)),
 IF(COUNTIF(K72:N72,"&gt;0")=COUNT(K72:N72),"Persistent rise – ","Persistent decline – ")&amp;
 IF(ABS(N72)&gt;1.25*SUMPRODUCT(ABS(IFERROR(K72:M72*1,0)))/COUNT(K72:M72),"accelerating",
 IF(ABS(N72)&lt;0.75*SUMPRODUCT(ABS(IFERROR(K72:M72*1,0)))/COUNT(K72:M72),"decelerating","steady pace")),
 IF(SUMPRODUCT(--(IFERROR(K72:M72*L72:N72,0)&lt;0))=1,
   IF(INDEX(K72:N72,MATCH(TRUE,INDEX(ISNUMBER(K72:N72),0),0))&gt;0,"Reversing – peak ","Reversing – trough ")&amp;
   INDEX($E$4:$I$4,MATCH(IF(INDEX(K72:N72,MATCH(TRUE,INDEX(ISNUMBER(K72:N72),0),0))&gt;0,MAX(E72:I72),MIN(E72:I72)),E72:I72,0)),
   "Volatile – direction changed "&amp;SUMPRODUCT(--(IFERROR(K72:M72*L72:N72,0)&lt;0))&amp;"x")))</f>
        <v>Volatile – direction changed 2x</v>
      </c>
    </row>
    <row r="73" spans="2:16" ht="14.5" customHeight="1" x14ac:dyDescent="0.35">
      <c r="B73" s="157" t="s">
        <v>275</v>
      </c>
      <c r="C73" s="157"/>
      <c r="D73" s="162"/>
      <c r="E73" s="19">
        <f t="shared" si="19"/>
        <v>0</v>
      </c>
      <c r="F73" s="19">
        <f t="shared" si="19"/>
        <v>-0.14432430804445384</v>
      </c>
      <c r="G73" s="19">
        <f t="shared" si="19"/>
        <v>0.33092816162753858</v>
      </c>
      <c r="H73" s="19">
        <f t="shared" si="19"/>
        <v>0.17919763044455617</v>
      </c>
      <c r="I73" s="19">
        <f t="shared" si="19"/>
        <v>0.27771423445244348</v>
      </c>
      <c r="J73" s="164">
        <f t="shared" si="20"/>
        <v>27.771423445244348</v>
      </c>
      <c r="K73" s="164">
        <f t="shared" si="21"/>
        <v>-14.432430804445385</v>
      </c>
      <c r="L73" s="164">
        <f t="shared" si="21"/>
        <v>47.525246967199244</v>
      </c>
      <c r="M73" s="164">
        <f t="shared" si="21"/>
        <v>-15.173053118298242</v>
      </c>
      <c r="N73" s="164">
        <f t="shared" si="21"/>
        <v>9.851660400788731</v>
      </c>
      <c r="O73" s="355" t="str">
        <f t="shared" si="18"/>
        <v>Up</v>
      </c>
      <c r="P73" s="158" t="str">
        <f t="array" ref="P73">IF(COUNT(K73:N73)&lt;2,"n/a",
IF(OR(COUNTIF(K73:N73,"&gt;0")=COUNT(K73:N73),COUNTIF(K73:N73,"&lt;0")=COUNT(K73:N73)),
 IF(COUNTIF(K73:N73,"&gt;0")=COUNT(K73:N73),"Persistent rise – ","Persistent decline – ")&amp;
 IF(ABS(N73)&gt;1.25*SUMPRODUCT(ABS(IFERROR(K73:M73*1,0)))/COUNT(K73:M73),"accelerating",
 IF(ABS(N73)&lt;0.75*SUMPRODUCT(ABS(IFERROR(K73:M73*1,0)))/COUNT(K73:M73),"decelerating","steady pace")),
 IF(SUMPRODUCT(--(IFERROR(K73:M73*L73:N73,0)&lt;0))=1,
   IF(INDEX(K73:N73,MATCH(TRUE,INDEX(ISNUMBER(K73:N73),0),0))&gt;0,"Reversing – peak ","Reversing – trough ")&amp;
   INDEX($E$4:$I$4,MATCH(IF(INDEX(K73:N73,MATCH(TRUE,INDEX(ISNUMBER(K73:N73),0),0))&gt;0,MAX(E73:I73),MIN(E73:I73)),E73:I73,0)),
   "Volatile – direction changed "&amp;SUMPRODUCT(--(IFERROR(K73:M73*L73:N73,0)&lt;0))&amp;"x")))</f>
        <v>Volatile – direction changed 3x</v>
      </c>
    </row>
    <row r="74" spans="2:16" ht="14.5" customHeight="1" x14ac:dyDescent="0.35">
      <c r="B74" s="157" t="s">
        <v>276</v>
      </c>
      <c r="C74" s="157"/>
      <c r="D74" s="162"/>
      <c r="E74" s="19">
        <f t="shared" si="19"/>
        <v>0</v>
      </c>
      <c r="F74" s="19">
        <f t="shared" si="19"/>
        <v>-0.51010248901903366</v>
      </c>
      <c r="G74" s="19">
        <f t="shared" si="19"/>
        <v>0.19137278342299258</v>
      </c>
      <c r="H74" s="19">
        <f t="shared" si="19"/>
        <v>0.18454720294338989</v>
      </c>
      <c r="I74" s="19">
        <f t="shared" si="19"/>
        <v>1.5530142594945673E-2</v>
      </c>
      <c r="J74" s="164">
        <f t="shared" si="20"/>
        <v>1.5530142594945673</v>
      </c>
      <c r="K74" s="164">
        <f t="shared" si="21"/>
        <v>-51.010248901903367</v>
      </c>
      <c r="L74" s="164">
        <f t="shared" si="21"/>
        <v>70.147527244202621</v>
      </c>
      <c r="M74" s="164">
        <f t="shared" si="21"/>
        <v>-0.68255804796026887</v>
      </c>
      <c r="N74" s="164">
        <f t="shared" si="21"/>
        <v>-16.901706034844423</v>
      </c>
      <c r="O74" s="355" t="str">
        <f t="shared" si="18"/>
        <v>Up</v>
      </c>
      <c r="P74" s="158" t="str">
        <f t="array" ref="P74">IF(COUNT(K74:N74)&lt;2,"n/a",
IF(OR(COUNTIF(K74:N74,"&gt;0")=COUNT(K74:N74),COUNTIF(K74:N74,"&lt;0")=COUNT(K74:N74)),
 IF(COUNTIF(K74:N74,"&gt;0")=COUNT(K74:N74),"Persistent rise – ","Persistent decline – ")&amp;
 IF(ABS(N74)&gt;1.25*SUMPRODUCT(ABS(IFERROR(K74:M74*1,0)))/COUNT(K74:M74),"accelerating",
 IF(ABS(N74)&lt;0.75*SUMPRODUCT(ABS(IFERROR(K74:M74*1,0)))/COUNT(K74:M74),"decelerating","steady pace")),
 IF(SUMPRODUCT(--(IFERROR(K74:M74*L74:N74,0)&lt;0))=1,
   IF(INDEX(K74:N74,MATCH(TRUE,INDEX(ISNUMBER(K74:N74),0),0))&gt;0,"Reversing – peak ","Reversing – trough ")&amp;
   INDEX($E$4:$I$4,MATCH(IF(INDEX(K74:N74,MATCH(TRUE,INDEX(ISNUMBER(K74:N74),0),0))&gt;0,MAX(E74:I74),MIN(E74:I74)),E74:I74,0)),
   "Volatile – direction changed "&amp;SUMPRODUCT(--(IFERROR(K74:M74*L74:N74,0)&lt;0))&amp;"x")))</f>
        <v>Volatile – direction changed 2x</v>
      </c>
    </row>
    <row r="75" spans="2:16" ht="14.5" customHeight="1" x14ac:dyDescent="0.35">
      <c r="B75" s="157" t="s">
        <v>277</v>
      </c>
      <c r="C75" s="157"/>
      <c r="D75" s="162"/>
      <c r="E75" s="19">
        <f t="shared" ref="E75:I77" si="22">E66/E63</f>
        <v>0.46856259074553375</v>
      </c>
      <c r="F75" s="19">
        <f t="shared" si="22"/>
        <v>0.53184777644422254</v>
      </c>
      <c r="G75" s="19">
        <f t="shared" si="22"/>
        <v>0.55851900393184795</v>
      </c>
      <c r="H75" s="19">
        <f t="shared" si="22"/>
        <v>0.57754324973098259</v>
      </c>
      <c r="I75" s="19">
        <f t="shared" si="22"/>
        <v>0.59915283293808397</v>
      </c>
      <c r="J75" s="164">
        <f t="shared" si="20"/>
        <v>13.059024219255022</v>
      </c>
      <c r="K75" s="164">
        <f t="shared" si="21"/>
        <v>6.32851856986888</v>
      </c>
      <c r="L75" s="164">
        <f t="shared" si="21"/>
        <v>2.6671227487625404</v>
      </c>
      <c r="M75" s="164">
        <f t="shared" si="21"/>
        <v>1.9024245799134643</v>
      </c>
      <c r="N75" s="164">
        <f t="shared" si="21"/>
        <v>2.1609583207101379</v>
      </c>
      <c r="O75" s="355" t="str">
        <f t="shared" si="18"/>
        <v>Up</v>
      </c>
      <c r="P75" s="158" t="str">
        <f t="array" ref="P75">IF(COUNT(K75:N75)&lt;2,"n/a",
IF(OR(COUNTIF(K75:N75,"&gt;0")=COUNT(K75:N75),COUNTIF(K75:N75,"&lt;0")=COUNT(K75:N75)),
 IF(COUNTIF(K75:N75,"&gt;0")=COUNT(K75:N75),"Persistent rise – ","Persistent decline – ")&amp;
 IF(ABS(N75)&gt;1.25*SUMPRODUCT(ABS(IFERROR(K75:M75*1,0)))/COUNT(K75:M75),"accelerating",
 IF(ABS(N75)&lt;0.75*SUMPRODUCT(ABS(IFERROR(K75:M75*1,0)))/COUNT(K75:M75),"decelerating","steady pace")),
 IF(SUMPRODUCT(--(IFERROR(K75:M75*L75:N75,0)&lt;0))=1,
   IF(INDEX(K75:N75,MATCH(TRUE,INDEX(ISNUMBER(K75:N75),0),0))&gt;0,"Reversing – peak ","Reversing – trough ")&amp;
   INDEX($E$4:$I$4,MATCH(IF(INDEX(K75:N75,MATCH(TRUE,INDEX(ISNUMBER(K75:N75),0),0))&gt;0,MAX(E75:I75),MIN(E75:I75)),E75:I75,0)),
   "Volatile – direction changed "&amp;SUMPRODUCT(--(IFERROR(K75:M75*L75:N75,0)&lt;0))&amp;"x")))</f>
        <v>Persistent rise – decelerating</v>
      </c>
    </row>
    <row r="76" spans="2:16" ht="14.5" customHeight="1" x14ac:dyDescent="0.35">
      <c r="B76" s="157" t="s">
        <v>278</v>
      </c>
      <c r="C76" s="157"/>
      <c r="D76" s="162"/>
      <c r="E76" s="19">
        <f t="shared" si="22"/>
        <v>0.44291335956779831</v>
      </c>
      <c r="F76" s="19">
        <f t="shared" si="22"/>
        <v>0.38949056810704102</v>
      </c>
      <c r="G76" s="19">
        <f t="shared" si="22"/>
        <v>0.43232644287935607</v>
      </c>
      <c r="H76" s="19">
        <f t="shared" si="22"/>
        <v>0.41960193854985178</v>
      </c>
      <c r="I76" s="19">
        <f t="shared" si="22"/>
        <v>0.41346677214041555</v>
      </c>
      <c r="J76" s="164">
        <f t="shared" si="20"/>
        <v>-2.9446587427382767</v>
      </c>
      <c r="K76" s="164">
        <f t="shared" si="21"/>
        <v>-5.3422791460757288</v>
      </c>
      <c r="L76" s="164">
        <f t="shared" si="21"/>
        <v>4.2835874772315039</v>
      </c>
      <c r="M76" s="164">
        <f t="shared" si="21"/>
        <v>-1.2724504329504283</v>
      </c>
      <c r="N76" s="164">
        <f t="shared" si="21"/>
        <v>-0.61351664094362324</v>
      </c>
      <c r="O76" s="355" t="str">
        <f t="shared" si="18"/>
        <v>Down</v>
      </c>
      <c r="P76" s="158" t="str">
        <f t="array" ref="P76">IF(COUNT(K76:N76)&lt;2,"n/a",
IF(OR(COUNTIF(K76:N76,"&gt;0")=COUNT(K76:N76),COUNTIF(K76:N76,"&lt;0")=COUNT(K76:N76)),
 IF(COUNTIF(K76:N76,"&gt;0")=COUNT(K76:N76),"Persistent rise – ","Persistent decline – ")&amp;
 IF(ABS(N76)&gt;1.25*SUMPRODUCT(ABS(IFERROR(K76:M76*1,0)))/COUNT(K76:M76),"accelerating",
 IF(ABS(N76)&lt;0.75*SUMPRODUCT(ABS(IFERROR(K76:M76*1,0)))/COUNT(K76:M76),"decelerating","steady pace")),
 IF(SUMPRODUCT(--(IFERROR(K76:M76*L76:N76,0)&lt;0))=1,
   IF(INDEX(K76:N76,MATCH(TRUE,INDEX(ISNUMBER(K76:N76),0),0))&gt;0,"Reversing – peak ","Reversing – trough ")&amp;
   INDEX($E$4:$I$4,MATCH(IF(INDEX(K76:N76,MATCH(TRUE,INDEX(ISNUMBER(K76:N76),0),0))&gt;0,MAX(E76:I76),MIN(E76:I76)),E76:I76,0)),
   "Volatile – direction changed "&amp;SUMPRODUCT(--(IFERROR(K76:M76*L76:N76,0)&lt;0))&amp;"x")))</f>
        <v>Volatile – direction changed 2x</v>
      </c>
    </row>
    <row r="77" spans="2:16" ht="14.5" customHeight="1" x14ac:dyDescent="0.35">
      <c r="B77" s="157" t="s">
        <v>279</v>
      </c>
      <c r="C77" s="157"/>
      <c r="D77" s="162"/>
      <c r="E77" s="19">
        <f t="shared" si="22"/>
        <v>0.34183613886988873</v>
      </c>
      <c r="F77" s="19">
        <f t="shared" si="22"/>
        <v>0.22396251673360107</v>
      </c>
      <c r="G77" s="19">
        <f t="shared" si="22"/>
        <v>0.23523742082694049</v>
      </c>
      <c r="H77" s="19">
        <f t="shared" si="22"/>
        <v>0.25921791798569049</v>
      </c>
      <c r="I77" s="19">
        <f t="shared" si="22"/>
        <v>0.2661511137423222</v>
      </c>
      <c r="J77" s="164">
        <f t="shared" si="20"/>
        <v>-7.5685025127566528</v>
      </c>
      <c r="K77" s="164">
        <f t="shared" si="21"/>
        <v>-11.787362213628766</v>
      </c>
      <c r="L77" s="164">
        <f t="shared" si="21"/>
        <v>1.1274904093339422</v>
      </c>
      <c r="M77" s="164">
        <f t="shared" si="21"/>
        <v>2.3980497158750005</v>
      </c>
      <c r="N77" s="164">
        <f t="shared" si="21"/>
        <v>0.69331957566317048</v>
      </c>
      <c r="O77" s="355" t="str">
        <f t="shared" si="18"/>
        <v>Down</v>
      </c>
      <c r="P77" s="158" t="str">
        <f t="array" ref="P77">IF(COUNT(K77:N77)&lt;2,"n/a",
IF(OR(COUNTIF(K77:N77,"&gt;0")=COUNT(K77:N77),COUNTIF(K77:N77,"&lt;0")=COUNT(K77:N77)),
 IF(COUNTIF(K77:N77,"&gt;0")=COUNT(K77:N77),"Persistent rise – ","Persistent decline – ")&amp;
 IF(ABS(N77)&gt;1.25*SUMPRODUCT(ABS(IFERROR(K77:M77*1,0)))/COUNT(K77:M77),"accelerating",
 IF(ABS(N77)&lt;0.75*SUMPRODUCT(ABS(IFERROR(K77:M77*1,0)))/COUNT(K77:M77),"decelerating","steady pace")),
 IF(SUMPRODUCT(--(IFERROR(K77:M77*L77:N77,0)&lt;0))=1,
   IF(INDEX(K77:N77,MATCH(TRUE,INDEX(ISNUMBER(K77:N77),0),0))&gt;0,"Reversing – peak ","Reversing – trough ")&amp;
   INDEX($E$4:$I$4,MATCH(IF(INDEX(K77:N77,MATCH(TRUE,INDEX(ISNUMBER(K77:N77),0),0))&gt;0,MAX(E77:I77),MIN(E77:I77)),E77:I77,0)),
   "Volatile – direction changed "&amp;SUMPRODUCT(--(IFERROR(K77:M77*L77:N77,0)&lt;0))&amp;"x")))</f>
        <v>Reversing – trough 2023</v>
      </c>
    </row>
    <row r="78" spans="2:16" ht="14.5" customHeight="1" x14ac:dyDescent="0.35">
      <c r="B78" s="157" t="s">
        <v>280</v>
      </c>
      <c r="C78" s="157"/>
      <c r="D78" s="162"/>
      <c r="E78" s="321">
        <f>'Common Size&amp;Ratio'!E33</f>
        <v>0.31958440510415093</v>
      </c>
      <c r="F78" s="321">
        <f>'Common Size&amp;Ratio'!F33</f>
        <v>0.44428662435410426</v>
      </c>
      <c r="G78" s="321">
        <f>'Common Size&amp;Ratio'!G33</f>
        <v>0.43578299785412977</v>
      </c>
      <c r="H78" s="321">
        <f>'Common Size&amp;Ratio'!H33</f>
        <v>0.42882395536056567</v>
      </c>
      <c r="I78" s="321">
        <f>'Common Size&amp;Ratio'!I33</f>
        <v>0.42187928483391041</v>
      </c>
      <c r="J78" s="164">
        <f t="shared" si="20"/>
        <v>10.229487972975948</v>
      </c>
      <c r="K78" s="164">
        <f t="shared" si="21"/>
        <v>12.470221924995334</v>
      </c>
      <c r="L78" s="164">
        <f t="shared" si="21"/>
        <v>-0.85036264999744926</v>
      </c>
      <c r="M78" s="164">
        <f t="shared" si="21"/>
        <v>-0.69590424935641049</v>
      </c>
      <c r="N78" s="164">
        <f t="shared" si="21"/>
        <v>-0.69446705266552611</v>
      </c>
      <c r="O78" s="355" t="str">
        <f t="shared" si="18"/>
        <v>Up</v>
      </c>
      <c r="P78" s="158" t="str">
        <f t="array" ref="P78">IF(COUNT(K78:N78)&lt;2,"n/a",
IF(OR(COUNTIF(K78:N78,"&gt;0")=COUNT(K78:N78),COUNTIF(K78:N78,"&lt;0")=COUNT(K78:N78)),
 IF(COUNTIF(K78:N78,"&gt;0")=COUNT(K78:N78),"Persistent rise – ","Persistent decline – ")&amp;
 IF(ABS(N78)&gt;1.25*SUMPRODUCT(ABS(IFERROR(K78:M78*1,0)))/COUNT(K78:M78),"accelerating",
 IF(ABS(N78)&lt;0.75*SUMPRODUCT(ABS(IFERROR(K78:M78*1,0)))/COUNT(K78:M78),"decelerating","steady pace")),
 IF(SUMPRODUCT(--(IFERROR(K78:M78*L78:N78,0)&lt;0))=1,
   IF(INDEX(K78:N78,MATCH(TRUE,INDEX(ISNUMBER(K78:N78),0),0))&gt;0,"Reversing – peak ","Reversing – trough ")&amp;
   INDEX($E$4:$I$4,MATCH(IF(INDEX(K78:N78,MATCH(TRUE,INDEX(ISNUMBER(K78:N78),0),0))&gt;0,MAX(E78:I78),MIN(E78:I78)),E78:I78,0)),
   "Volatile – direction changed "&amp;SUMPRODUCT(--(IFERROR(K78:M78*L78:N78,0)&lt;0))&amp;"x")))</f>
        <v>Reversing – peak 2023</v>
      </c>
    </row>
    <row r="79" spans="2:16" ht="14.5" customHeight="1" x14ac:dyDescent="0.35">
      <c r="B79" s="157" t="s">
        <v>281</v>
      </c>
      <c r="C79" s="157"/>
      <c r="D79" s="162"/>
      <c r="E79" s="321">
        <f>'Common Size&amp;Ratio'!E34</f>
        <v>0.37809552630251675</v>
      </c>
      <c r="F79" s="321">
        <f>'Common Size&amp;Ratio'!F34</f>
        <v>0.34421348182054123</v>
      </c>
      <c r="G79" s="321">
        <f>'Common Size&amp;Ratio'!G34</f>
        <v>0.35681823744910696</v>
      </c>
      <c r="H79" s="321">
        <f>'Common Size&amp;Ratio'!H34</f>
        <v>0.37719541111158439</v>
      </c>
      <c r="I79" s="321">
        <f>'Common Size&amp;Ratio'!I34</f>
        <v>0.41523449624667386</v>
      </c>
      <c r="J79" s="164">
        <f t="shared" si="20"/>
        <v>3.7138969944157108</v>
      </c>
      <c r="K79" s="164">
        <f t="shared" si="21"/>
        <v>-3.3882044481975515</v>
      </c>
      <c r="L79" s="164">
        <f t="shared" si="21"/>
        <v>1.2604755628565723</v>
      </c>
      <c r="M79" s="164">
        <f t="shared" si="21"/>
        <v>2.037717366247743</v>
      </c>
      <c r="N79" s="164">
        <f t="shared" si="21"/>
        <v>3.8039085135089468</v>
      </c>
      <c r="O79" s="355" t="str">
        <f t="shared" si="18"/>
        <v>Up</v>
      </c>
      <c r="P79" s="158" t="str">
        <f t="array" ref="P79">IF(COUNT(K79:N79)&lt;2,"n/a",
IF(OR(COUNTIF(K79:N79,"&gt;0")=COUNT(K79:N79),COUNTIF(K79:N79,"&lt;0")=COUNT(K79:N79)),
 IF(COUNTIF(K79:N79,"&gt;0")=COUNT(K79:N79),"Persistent rise – ","Persistent decline – ")&amp;
 IF(ABS(N79)&gt;1.25*SUMPRODUCT(ABS(IFERROR(K79:M79*1,0)))/COUNT(K79:M79),"accelerating",
 IF(ABS(N79)&lt;0.75*SUMPRODUCT(ABS(IFERROR(K79:M79*1,0)))/COUNT(K79:M79),"decelerating","steady pace")),
 IF(SUMPRODUCT(--(IFERROR(K79:M79*L79:N79,0)&lt;0))=1,
   IF(INDEX(K79:N79,MATCH(TRUE,INDEX(ISNUMBER(K79:N79),0),0))&gt;0,"Reversing – peak ","Reversing – trough ")&amp;
   INDEX($E$4:$I$4,MATCH(IF(INDEX(K79:N79,MATCH(TRUE,INDEX(ISNUMBER(K79:N79),0),0))&gt;0,MAX(E79:I79),MIN(E79:I79)),E79:I79,0)),
   "Volatile – direction changed "&amp;SUMPRODUCT(--(IFERROR(K79:M79*L79:N79,0)&lt;0))&amp;"x")))</f>
        <v>Reversing – trough 2023</v>
      </c>
    </row>
    <row r="80" spans="2:16" ht="14.5" customHeight="1" x14ac:dyDescent="0.35">
      <c r="B80" s="157" t="s">
        <v>282</v>
      </c>
      <c r="C80" s="157"/>
      <c r="D80" s="162"/>
      <c r="E80" s="321">
        <f>'Common Size&amp;Ratio'!E35</f>
        <v>0.30232006859333233</v>
      </c>
      <c r="F80" s="321">
        <f>'Common Size&amp;Ratio'!F35</f>
        <v>0.2114998938253545</v>
      </c>
      <c r="G80" s="321">
        <f>'Common Size&amp;Ratio'!G35</f>
        <v>0.20739876469676324</v>
      </c>
      <c r="H80" s="321">
        <f>'Common Size&amp;Ratio'!H35</f>
        <v>0.19398063352784994</v>
      </c>
      <c r="I80" s="321">
        <f>'Common Size&amp;Ratio'!I35</f>
        <v>0.16288621891941574</v>
      </c>
      <c r="J80" s="164">
        <f t="shared" si="20"/>
        <v>-13.943384967391658</v>
      </c>
      <c r="K80" s="164">
        <f t="shared" si="21"/>
        <v>-9.0820174767977822</v>
      </c>
      <c r="L80" s="164">
        <f t="shared" si="21"/>
        <v>-0.41011291285912577</v>
      </c>
      <c r="M80" s="164">
        <f t="shared" si="21"/>
        <v>-1.3418131168913301</v>
      </c>
      <c r="N80" s="164">
        <f t="shared" si="21"/>
        <v>-3.1094414608434207</v>
      </c>
      <c r="O80" s="355" t="str">
        <f t="shared" si="18"/>
        <v>Down</v>
      </c>
      <c r="P80" s="158" t="str">
        <f t="array" ref="P80">IF(COUNT(K80:N80)&lt;2,"n/a",
IF(OR(COUNTIF(K80:N80,"&gt;0")=COUNT(K80:N80),COUNTIF(K80:N80,"&lt;0")=COUNT(K80:N80)),
 IF(COUNTIF(K80:N80,"&gt;0")=COUNT(K80:N80),"Persistent rise – ","Persistent decline – ")&amp;
 IF(ABS(N80)&gt;1.25*SUMPRODUCT(ABS(IFERROR(K80:M80*1,0)))/COUNT(K80:M80),"accelerating",
 IF(ABS(N80)&lt;0.75*SUMPRODUCT(ABS(IFERROR(K80:M80*1,0)))/COUNT(K80:M80),"decelerating","steady pace")),
 IF(SUMPRODUCT(--(IFERROR(K80:M80*L80:N80,0)&lt;0))=1,
   IF(INDEX(K80:N80,MATCH(TRUE,INDEX(ISNUMBER(K80:N80),0),0))&gt;0,"Reversing – peak ","Reversing – trough ")&amp;
   INDEX($E$4:$I$4,MATCH(IF(INDEX(K80:N80,MATCH(TRUE,INDEX(ISNUMBER(K80:N80),0),0))&gt;0,MAX(E80:I80),MIN(E80:I80)),E80:I80,0)),
   "Volatile – direction changed "&amp;SUMPRODUCT(--(IFERROR(K80:M80*L80:N80,0)&lt;0))&amp;"x")))</f>
        <v>Persistent decline – steady pace</v>
      </c>
    </row>
    <row r="81" spans="2:16" ht="14.5" customHeight="1" x14ac:dyDescent="0.35">
      <c r="B81" s="157" t="s">
        <v>283</v>
      </c>
      <c r="C81" s="157"/>
      <c r="D81" s="162"/>
      <c r="E81" s="321">
        <f>'Common Size&amp;Ratio'!E39</f>
        <v>0.3560677836009738</v>
      </c>
      <c r="F81" s="321">
        <f>'Common Size&amp;Ratio'!F39</f>
        <v>0.56566090168656735</v>
      </c>
      <c r="G81" s="321">
        <f>'Common Size&amp;Ratio'!G39</f>
        <v>0.54518289729789005</v>
      </c>
      <c r="H81" s="321">
        <f>'Common Size&amp;Ratio'!H39</f>
        <v>0.54286225569525703</v>
      </c>
      <c r="I81" s="321">
        <f>'Common Size&amp;Ratio'!I39</f>
        <v>0.54032865876047587</v>
      </c>
      <c r="J81" s="164">
        <f t="shared" si="20"/>
        <v>18.426087515950208</v>
      </c>
      <c r="K81" s="164">
        <f t="shared" si="21"/>
        <v>20.959311808559356</v>
      </c>
      <c r="L81" s="164">
        <f t="shared" si="21"/>
        <v>-2.0478004388677307</v>
      </c>
      <c r="M81" s="164">
        <f t="shared" si="21"/>
        <v>-0.23206416026330112</v>
      </c>
      <c r="N81" s="164">
        <f t="shared" si="21"/>
        <v>-0.25335969347811682</v>
      </c>
      <c r="O81" s="355" t="str">
        <f t="shared" si="18"/>
        <v>Up</v>
      </c>
      <c r="P81" s="158" t="str">
        <f t="array" ref="P81">IF(COUNT(K81:N81)&lt;2,"n/a",
IF(OR(COUNTIF(K81:N81,"&gt;0")=COUNT(K81:N81),COUNTIF(K81:N81,"&lt;0")=COUNT(K81:N81)),
 IF(COUNTIF(K81:N81,"&gt;0")=COUNT(K81:N81),"Persistent rise – ","Persistent decline – ")&amp;
 IF(ABS(N81)&gt;1.25*SUMPRODUCT(ABS(IFERROR(K81:M81*1,0)))/COUNT(K81:M81),"accelerating",
 IF(ABS(N81)&lt;0.75*SUMPRODUCT(ABS(IFERROR(K81:M81*1,0)))/COUNT(K81:M81),"decelerating","steady pace")),
 IF(SUMPRODUCT(--(IFERROR(K81:M81*L81:N81,0)&lt;0))=1,
   IF(INDEX(K81:N81,MATCH(TRUE,INDEX(ISNUMBER(K81:N81),0),0))&gt;0,"Reversing – peak ","Reversing – trough ")&amp;
   INDEX($E$4:$I$4,MATCH(IF(INDEX(K81:N81,MATCH(TRUE,INDEX(ISNUMBER(K81:N81),0),0))&gt;0,MAX(E81:I81),MIN(E81:I81)),E81:I81,0)),
   "Volatile – direction changed "&amp;SUMPRODUCT(--(IFERROR(K81:M81*L81:N81,0)&lt;0))&amp;"x")))</f>
        <v>Reversing – peak 2023</v>
      </c>
    </row>
    <row r="82" spans="2:16" ht="14.5" customHeight="1" x14ac:dyDescent="0.35">
      <c r="B82" s="157" t="s">
        <v>284</v>
      </c>
      <c r="C82" s="157"/>
      <c r="D82" s="162"/>
      <c r="E82" s="321">
        <f>'Common Size&amp;Ratio'!E40</f>
        <v>0.39819867359054006</v>
      </c>
      <c r="F82" s="321">
        <f>'Common Size&amp;Ratio'!F40</f>
        <v>0.3209448391943337</v>
      </c>
      <c r="G82" s="321">
        <f>'Common Size&amp;Ratio'!G40</f>
        <v>0.34553562453738818</v>
      </c>
      <c r="H82" s="321">
        <f>'Common Size&amp;Ratio'!H40</f>
        <v>0.34692051537408192</v>
      </c>
      <c r="I82" s="321">
        <f>'Common Size&amp;Ratio'!I40</f>
        <v>0.36700013527702802</v>
      </c>
      <c r="J82" s="164">
        <f t="shared" si="20"/>
        <v>-3.1198538313512048</v>
      </c>
      <c r="K82" s="164">
        <f t="shared" si="21"/>
        <v>-7.7253834396206367</v>
      </c>
      <c r="L82" s="164">
        <f t="shared" si="21"/>
        <v>2.4590785343054478</v>
      </c>
      <c r="M82" s="164">
        <f t="shared" si="21"/>
        <v>0.13848908366937418</v>
      </c>
      <c r="N82" s="164">
        <f t="shared" si="21"/>
        <v>2.0079619902946098</v>
      </c>
      <c r="O82" s="355" t="str">
        <f t="shared" si="18"/>
        <v>Down</v>
      </c>
      <c r="P82" s="158" t="str">
        <f t="array" ref="P82">IF(COUNT(K82:N82)&lt;2,"n/a",
IF(OR(COUNTIF(K82:N82,"&gt;0")=COUNT(K82:N82),COUNTIF(K82:N82,"&lt;0")=COUNT(K82:N82)),
 IF(COUNTIF(K82:N82,"&gt;0")=COUNT(K82:N82),"Persistent rise – ","Persistent decline – ")&amp;
 IF(ABS(N82)&gt;1.25*SUMPRODUCT(ABS(IFERROR(K82:M82*1,0)))/COUNT(K82:M82),"accelerating",
 IF(ABS(N82)&lt;0.75*SUMPRODUCT(ABS(IFERROR(K82:M82*1,0)))/COUNT(K82:M82),"decelerating","steady pace")),
 IF(SUMPRODUCT(--(IFERROR(K82:M82*L82:N82,0)&lt;0))=1,
   IF(INDEX(K82:N82,MATCH(TRUE,INDEX(ISNUMBER(K82:N82),0),0))&gt;0,"Reversing – peak ","Reversing – trough ")&amp;
   INDEX($E$4:$I$4,MATCH(IF(INDEX(K82:N82,MATCH(TRUE,INDEX(ISNUMBER(K82:N82),0),0))&gt;0,MAX(E82:I82),MIN(E82:I82)),E82:I82,0)),
   "Volatile – direction changed "&amp;SUMPRODUCT(--(IFERROR(K82:M82*L82:N82,0)&lt;0))&amp;"x")))</f>
        <v>Reversing – trough 2023</v>
      </c>
    </row>
    <row r="83" spans="2:16" ht="14.5" customHeight="1" x14ac:dyDescent="0.35">
      <c r="B83" s="157" t="s">
        <v>285</v>
      </c>
      <c r="C83" s="157"/>
      <c r="D83" s="162"/>
      <c r="E83" s="321">
        <f>'Common Size&amp;Ratio'!E41</f>
        <v>0.24573354280848614</v>
      </c>
      <c r="F83" s="321">
        <f>'Common Size&amp;Ratio'!F41</f>
        <v>0.11339425911909899</v>
      </c>
      <c r="G83" s="321">
        <f>'Common Size&amp;Ratio'!G41</f>
        <v>0.10928147816472179</v>
      </c>
      <c r="H83" s="321">
        <f>'Common Size&amp;Ratio'!H41</f>
        <v>0.11021722893066102</v>
      </c>
      <c r="I83" s="321">
        <f>'Common Size&amp;Ratio'!I41</f>
        <v>9.2671205962496048E-2</v>
      </c>
      <c r="J83" s="164">
        <f t="shared" si="20"/>
        <v>-15.306233684599007</v>
      </c>
      <c r="K83" s="164">
        <f t="shared" si="21"/>
        <v>-13.233928368938713</v>
      </c>
      <c r="L83" s="164">
        <f t="shared" si="21"/>
        <v>-0.41127809543771987</v>
      </c>
      <c r="M83" s="164">
        <f t="shared" si="21"/>
        <v>9.3575076593922779E-2</v>
      </c>
      <c r="N83" s="164">
        <f t="shared" si="21"/>
        <v>-1.7546022968164974</v>
      </c>
      <c r="O83" s="355" t="str">
        <f t="shared" si="18"/>
        <v>Down</v>
      </c>
      <c r="P83" s="158" t="str">
        <f t="array" ref="P83">IF(COUNT(K83:N83)&lt;2,"n/a",
IF(OR(COUNTIF(K83:N83,"&gt;0")=COUNT(K83:N83),COUNTIF(K83:N83,"&lt;0")=COUNT(K83:N83)),
 IF(COUNTIF(K83:N83,"&gt;0")=COUNT(K83:N83),"Persistent rise – ","Persistent decline – ")&amp;
 IF(ABS(N83)&gt;1.25*SUMPRODUCT(ABS(IFERROR(K83:M83*1,0)))/COUNT(K83:M83),"accelerating",
 IF(ABS(N83)&lt;0.75*SUMPRODUCT(ABS(IFERROR(K83:M83*1,0)))/COUNT(K83:M83),"decelerating","steady pace")),
 IF(SUMPRODUCT(--(IFERROR(K83:M83*L83:N83,0)&lt;0))=1,
   IF(INDEX(K83:N83,MATCH(TRUE,INDEX(ISNUMBER(K83:N83),0),0))&gt;0,"Reversing – peak ","Reversing – trough ")&amp;
   INDEX($E$4:$I$4,MATCH(IF(INDEX(K83:N83,MATCH(TRUE,INDEX(ISNUMBER(K83:N83),0),0))&gt;0,MAX(E83:I83),MIN(E83:I83)),E83:I83,0)),
   "Volatile – direction changed "&amp;SUMPRODUCT(--(IFERROR(K83:M83*L83:N83,0)&lt;0))&amp;"x")))</f>
        <v>Volatile – direction changed 2x</v>
      </c>
    </row>
    <row r="84" spans="2:16" ht="14.5" customHeight="1" x14ac:dyDescent="0.35">
      <c r="B84" s="157" t="s">
        <v>286</v>
      </c>
      <c r="C84" s="157"/>
      <c r="D84" s="162"/>
      <c r="E84" s="19">
        <f t="shared" ref="E84:I86" si="23">E81-E78</f>
        <v>3.6483378496822871E-2</v>
      </c>
      <c r="F84" s="19">
        <f t="shared" si="23"/>
        <v>0.12137427733246309</v>
      </c>
      <c r="G84" s="19">
        <f t="shared" si="23"/>
        <v>0.10939989944376027</v>
      </c>
      <c r="H84" s="19">
        <f t="shared" si="23"/>
        <v>0.11403830033469137</v>
      </c>
      <c r="I84" s="19">
        <f t="shared" si="23"/>
        <v>0.11844937392656546</v>
      </c>
      <c r="J84" s="164">
        <f t="shared" si="20"/>
        <v>8.1965995429742584</v>
      </c>
      <c r="K84" s="164">
        <f t="shared" si="21"/>
        <v>8.4890898835640218</v>
      </c>
      <c r="L84" s="164">
        <f t="shared" si="21"/>
        <v>-1.1974377888702814</v>
      </c>
      <c r="M84" s="164">
        <f t="shared" si="21"/>
        <v>0.46384008909310936</v>
      </c>
      <c r="N84" s="164">
        <f t="shared" si="21"/>
        <v>0.44110735918740929</v>
      </c>
      <c r="O84" s="355" t="str">
        <f t="shared" si="18"/>
        <v>Up</v>
      </c>
      <c r="P84" s="158" t="str">
        <f t="array" ref="P84">IF(COUNT(K84:N84)&lt;2,"n/a",
IF(OR(COUNTIF(K84:N84,"&gt;0")=COUNT(K84:N84),COUNTIF(K84:N84,"&lt;0")=COUNT(K84:N84)),
 IF(COUNTIF(K84:N84,"&gt;0")=COUNT(K84:N84),"Persistent rise – ","Persistent decline – ")&amp;
 IF(ABS(N84)&gt;1.25*SUMPRODUCT(ABS(IFERROR(K84:M84*1,0)))/COUNT(K84:M84),"accelerating",
 IF(ABS(N84)&lt;0.75*SUMPRODUCT(ABS(IFERROR(K84:M84*1,0)))/COUNT(K84:M84),"decelerating","steady pace")),
 IF(SUMPRODUCT(--(IFERROR(K84:M84*L84:N84,0)&lt;0))=1,
   IF(INDEX(K84:N84,MATCH(TRUE,INDEX(ISNUMBER(K84:N84),0),0))&gt;0,"Reversing – peak ","Reversing – trough ")&amp;
   INDEX($E$4:$I$4,MATCH(IF(INDEX(K84:N84,MATCH(TRUE,INDEX(ISNUMBER(K84:N84),0),0))&gt;0,MAX(E84:I84),MIN(E84:I84)),E84:I84,0)),
   "Volatile – direction changed "&amp;SUMPRODUCT(--(IFERROR(K84:M84*L84:N84,0)&lt;0))&amp;"x")))</f>
        <v>Volatile – direction changed 2x</v>
      </c>
    </row>
    <row r="85" spans="2:16" ht="14.5" customHeight="1" x14ac:dyDescent="0.35">
      <c r="B85" s="157" t="s">
        <v>287</v>
      </c>
      <c r="C85" s="157"/>
      <c r="D85" s="162"/>
      <c r="E85" s="19">
        <f t="shared" si="23"/>
        <v>2.0103147288023315E-2</v>
      </c>
      <c r="F85" s="19">
        <f t="shared" si="23"/>
        <v>-2.3268642626207536E-2</v>
      </c>
      <c r="G85" s="19">
        <f t="shared" si="23"/>
        <v>-1.1282612911718781E-2</v>
      </c>
      <c r="H85" s="19">
        <f t="shared" si="23"/>
        <v>-3.0274895737502472E-2</v>
      </c>
      <c r="I85" s="19">
        <f t="shared" si="23"/>
        <v>-4.823436096964584E-2</v>
      </c>
      <c r="J85" s="164">
        <f t="shared" si="20"/>
        <v>-6.8337508257669155</v>
      </c>
      <c r="K85" s="164">
        <f t="shared" si="21"/>
        <v>-4.3371789914230856</v>
      </c>
      <c r="L85" s="164">
        <f t="shared" si="21"/>
        <v>1.1986029714488755</v>
      </c>
      <c r="M85" s="164">
        <f t="shared" si="21"/>
        <v>-1.8992282825783691</v>
      </c>
      <c r="N85" s="164">
        <f t="shared" si="21"/>
        <v>-1.7959465232143368</v>
      </c>
      <c r="O85" s="355" t="str">
        <f t="shared" si="18"/>
        <v>Down</v>
      </c>
      <c r="P85" s="158" t="str">
        <f t="array" ref="P85">IF(COUNT(K85:N85)&lt;2,"n/a",
IF(OR(COUNTIF(K85:N85,"&gt;0")=COUNT(K85:N85),COUNTIF(K85:N85,"&lt;0")=COUNT(K85:N85)),
 IF(COUNTIF(K85:N85,"&gt;0")=COUNT(K85:N85),"Persistent rise – ","Persistent decline – ")&amp;
 IF(ABS(N85)&gt;1.25*SUMPRODUCT(ABS(IFERROR(K85:M85*1,0)))/COUNT(K85:M85),"accelerating",
 IF(ABS(N85)&lt;0.75*SUMPRODUCT(ABS(IFERROR(K85:M85*1,0)))/COUNT(K85:M85),"decelerating","steady pace")),
 IF(SUMPRODUCT(--(IFERROR(K85:M85*L85:N85,0)&lt;0))=1,
   IF(INDEX(K85:N85,MATCH(TRUE,INDEX(ISNUMBER(K85:N85),0),0))&gt;0,"Reversing – peak ","Reversing – trough ")&amp;
   INDEX($E$4:$I$4,MATCH(IF(INDEX(K85:N85,MATCH(TRUE,INDEX(ISNUMBER(K85:N85),0),0))&gt;0,MAX(E85:I85),MIN(E85:I85)),E85:I85,0)),
   "Volatile – direction changed "&amp;SUMPRODUCT(--(IFERROR(K85:M85*L85:N85,0)&lt;0))&amp;"x")))</f>
        <v>Volatile – direction changed 2x</v>
      </c>
    </row>
    <row r="86" spans="2:16" ht="14.5" customHeight="1" x14ac:dyDescent="0.35">
      <c r="B86" s="157" t="s">
        <v>288</v>
      </c>
      <c r="C86" s="157"/>
      <c r="D86" s="162"/>
      <c r="E86" s="19">
        <f t="shared" si="23"/>
        <v>-5.6586525784846187E-2</v>
      </c>
      <c r="F86" s="19">
        <f t="shared" si="23"/>
        <v>-9.810563470625551E-2</v>
      </c>
      <c r="G86" s="19">
        <f t="shared" si="23"/>
        <v>-9.8117286532041451E-2</v>
      </c>
      <c r="H86" s="19">
        <f t="shared" si="23"/>
        <v>-8.3763404597188923E-2</v>
      </c>
      <c r="I86" s="19">
        <f t="shared" si="23"/>
        <v>-7.021501295691969E-2</v>
      </c>
      <c r="J86" s="164">
        <f t="shared" si="20"/>
        <v>-1.3628487172073502</v>
      </c>
      <c r="K86" s="164">
        <f t="shared" si="21"/>
        <v>-4.1519108921409327</v>
      </c>
      <c r="L86" s="164">
        <f t="shared" si="21"/>
        <v>-1.1651825785941039E-3</v>
      </c>
      <c r="M86" s="164">
        <f t="shared" si="21"/>
        <v>1.4353881934852528</v>
      </c>
      <c r="N86" s="164">
        <f t="shared" si="21"/>
        <v>1.3548391640269233</v>
      </c>
      <c r="O86" s="355" t="str">
        <f t="shared" si="18"/>
        <v>Down</v>
      </c>
      <c r="P86" s="158" t="str">
        <f t="array" ref="P86">IF(COUNT(K86:N86)&lt;2,"n/a",
IF(OR(COUNTIF(K86:N86,"&gt;0")=COUNT(K86:N86),COUNTIF(K86:N86,"&lt;0")=COUNT(K86:N86)),
 IF(COUNTIF(K86:N86,"&gt;0")=COUNT(K86:N86),"Persistent rise – ","Persistent decline – ")&amp;
 IF(ABS(N86)&gt;1.25*SUMPRODUCT(ABS(IFERROR(K86:M86*1,0)))/COUNT(K86:M86),"accelerating",
 IF(ABS(N86)&lt;0.75*SUMPRODUCT(ABS(IFERROR(K86:M86*1,0)))/COUNT(K86:M86),"decelerating","steady pace")),
 IF(SUMPRODUCT(--(IFERROR(K86:M86*L86:N86,0)&lt;0))=1,
   IF(INDEX(K86:N86,MATCH(TRUE,INDEX(ISNUMBER(K86:N86),0),0))&gt;0,"Reversing – peak ","Reversing – trough ")&amp;
   INDEX($E$4:$I$4,MATCH(IF(INDEX(K86:N86,MATCH(TRUE,INDEX(ISNUMBER(K86:N86),0),0))&gt;0,MAX(E86:I86),MIN(E86:I86)),E86:I86,0)),
   "Volatile – direction changed "&amp;SUMPRODUCT(--(IFERROR(K86:M86*L86:N86,0)&lt;0))&amp;"x")))</f>
        <v>Reversing – trough 2024</v>
      </c>
    </row>
    <row r="87" spans="2:16" ht="14.5" customHeight="1" x14ac:dyDescent="0.35">
      <c r="B87" s="157" t="s">
        <v>289</v>
      </c>
      <c r="C87" s="157"/>
      <c r="D87" s="157"/>
      <c r="I87" s="95"/>
      <c r="J87" s="164">
        <f t="shared" si="20"/>
        <v>0</v>
      </c>
      <c r="K87" s="164">
        <f t="shared" si="21"/>
        <v>0</v>
      </c>
      <c r="L87" s="164">
        <f t="shared" si="21"/>
        <v>0</v>
      </c>
      <c r="M87" s="164">
        <f t="shared" si="21"/>
        <v>0</v>
      </c>
      <c r="N87" s="164">
        <f t="shared" si="21"/>
        <v>0</v>
      </c>
      <c r="O87" s="355" t="str">
        <f t="shared" si="18"/>
        <v>Flat</v>
      </c>
      <c r="P87" s="158" t="str">
        <f t="array" ref="P87">IF(COUNT(K87:N87)&lt;2,"n/a",
IF(OR(COUNTIF(K87:N87,"&gt;0")=COUNT(K87:N87),COUNTIF(K87:N87,"&lt;0")=COUNT(K87:N87)),
 IF(COUNTIF(K87:N87,"&gt;0")=COUNT(K87:N87),"Persistent rise – ","Persistent decline – ")&amp;
 IF(ABS(N87)&gt;1.25*SUMPRODUCT(ABS(IFERROR(K87:M87*1,0)))/COUNT(K87:M87),"accelerating",
 IF(ABS(N87)&lt;0.75*SUMPRODUCT(ABS(IFERROR(K87:M87*1,0)))/COUNT(K87:M87),"decelerating","steady pace")),
 IF(SUMPRODUCT(--(IFERROR(K87:M87*L87:N87,0)&lt;0))=1,
   IF(INDEX(K87:N87,MATCH(TRUE,INDEX(ISNUMBER(K87:N87),0),0))&gt;0,"Reversing – peak ","Reversing – trough ")&amp;
   INDEX($E$4:$I$4,MATCH(IF(INDEX(K87:N87,MATCH(TRUE,INDEX(ISNUMBER(K87:N87),0),0))&gt;0,MAX(E87:I87),MIN(E87:I87)),E87:I87,0)),
   "Volatile – direction changed "&amp;SUMPRODUCT(--(IFERROR(K87:M87*L87:N87,0)&lt;0))&amp;"x")))</f>
        <v>Volatile – direction changed 0x</v>
      </c>
    </row>
  </sheetData>
  <conditionalFormatting sqref="O5:O16">
    <cfRule type="containsText" dxfId="14" priority="13" operator="containsText" text="Flat">
      <formula>NOT(ISERROR(SEARCH("Flat",O5)))</formula>
    </cfRule>
    <cfRule type="containsText" dxfId="13" priority="14" operator="containsText" text="Up">
      <formula>NOT(ISERROR(SEARCH("Up",O5)))</formula>
    </cfRule>
    <cfRule type="containsText" dxfId="12" priority="15" operator="containsText" text="Down">
      <formula>NOT(ISERROR(SEARCH("Down",O5)))</formula>
    </cfRule>
  </conditionalFormatting>
  <conditionalFormatting sqref="O19:O28">
    <cfRule type="containsText" dxfId="11" priority="10" operator="containsText" text="Flat">
      <formula>NOT(ISERROR(SEARCH("Flat",O19)))</formula>
    </cfRule>
    <cfRule type="containsText" dxfId="10" priority="11" operator="containsText" text="Up">
      <formula>NOT(ISERROR(SEARCH("Up",O19)))</formula>
    </cfRule>
    <cfRule type="containsText" dxfId="9" priority="12" operator="containsText" text="Down">
      <formula>NOT(ISERROR(SEARCH("Down",O19)))</formula>
    </cfRule>
  </conditionalFormatting>
  <conditionalFormatting sqref="O31:O45">
    <cfRule type="containsText" dxfId="8" priority="7" operator="containsText" text="Flat">
      <formula>NOT(ISERROR(SEARCH("Flat",O31)))</formula>
    </cfRule>
    <cfRule type="containsText" dxfId="7" priority="8" operator="containsText" text="Up">
      <formula>NOT(ISERROR(SEARCH("Up",O31)))</formula>
    </cfRule>
    <cfRule type="containsText" dxfId="6" priority="9" operator="containsText" text="Down">
      <formula>NOT(ISERROR(SEARCH("Down",O31)))</formula>
    </cfRule>
  </conditionalFormatting>
  <conditionalFormatting sqref="O48:O60">
    <cfRule type="containsText" dxfId="5" priority="4" operator="containsText" text="Flat">
      <formula>NOT(ISERROR(SEARCH("Flat",O48)))</formula>
    </cfRule>
    <cfRule type="containsText" dxfId="4" priority="5" operator="containsText" text="Up">
      <formula>NOT(ISERROR(SEARCH("Up",O48)))</formula>
    </cfRule>
    <cfRule type="containsText" dxfId="3" priority="6" operator="containsText" text="Down">
      <formula>NOT(ISERROR(SEARCH("Down",O48)))</formula>
    </cfRule>
  </conditionalFormatting>
  <conditionalFormatting sqref="O63:O87">
    <cfRule type="containsText" dxfId="2" priority="1" operator="containsText" text="Flat">
      <formula>NOT(ISERROR(SEARCH("Flat",O63)))</formula>
    </cfRule>
    <cfRule type="containsText" dxfId="1" priority="2" operator="containsText" text="Up">
      <formula>NOT(ISERROR(SEARCH("Up",O63)))</formula>
    </cfRule>
    <cfRule type="containsText" dxfId="0" priority="3" operator="containsText" text="Down">
      <formula>NOT(ISERROR(SEARCH("Down",O63)))</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A1BF3-847A-496A-A9D1-B0FAAA315EF2}">
  <dimension ref="B1:M131"/>
  <sheetViews>
    <sheetView showGridLines="0" workbookViewId="0">
      <selection activeCell="B115" sqref="B115"/>
    </sheetView>
  </sheetViews>
  <sheetFormatPr defaultRowHeight="14.5" x14ac:dyDescent="0.35"/>
  <cols>
    <col min="1" max="1" width="2.6328125" customWidth="1"/>
    <col min="2" max="2" width="64.36328125" bestFit="1" customWidth="1"/>
    <col min="3" max="4" width="2.6328125" customWidth="1"/>
  </cols>
  <sheetData>
    <row r="1" spans="2:13" x14ac:dyDescent="0.35">
      <c r="B1" s="29"/>
      <c r="M1" s="305" t="str">
        <f>HYPERLINK("#'Cover'!A1","Cover")</f>
        <v>Cover</v>
      </c>
    </row>
    <row r="2" spans="2:13" x14ac:dyDescent="0.35">
      <c r="B2" s="54" t="s">
        <v>290</v>
      </c>
      <c r="D2" s="87"/>
      <c r="E2" s="280">
        <v>2027</v>
      </c>
      <c r="F2" s="276">
        <f>E2+1</f>
        <v>2028</v>
      </c>
      <c r="G2" s="276">
        <f>F2+1</f>
        <v>2029</v>
      </c>
      <c r="H2" s="276">
        <f>G2+1</f>
        <v>2030</v>
      </c>
      <c r="I2" s="276">
        <f>H2+1</f>
        <v>2031</v>
      </c>
      <c r="K2" s="284" t="s">
        <v>291</v>
      </c>
      <c r="L2" s="281">
        <v>2</v>
      </c>
      <c r="M2" s="169" t="str">
        <f>CHOOSE($L$2,"Bear","Base","Bull")</f>
        <v>Base</v>
      </c>
    </row>
    <row r="3" spans="2:13" x14ac:dyDescent="0.35">
      <c r="B3" s="170" t="s">
        <v>292</v>
      </c>
      <c r="K3" s="171" t="s">
        <v>293</v>
      </c>
    </row>
    <row r="5" spans="2:13" x14ac:dyDescent="0.35">
      <c r="B5" s="54" t="s">
        <v>294</v>
      </c>
    </row>
    <row r="6" spans="2:13" x14ac:dyDescent="0.35">
      <c r="B6" s="31" t="s">
        <v>477</v>
      </c>
      <c r="D6" s="95"/>
      <c r="E6" s="183">
        <f>CHOOSE($L$2,E7,E8,E9)</f>
        <v>0.02</v>
      </c>
      <c r="F6" s="183">
        <f>CHOOSE($L$2,F7,F8,F9)</f>
        <v>0.02</v>
      </c>
      <c r="G6" s="183">
        <f>CHOOSE($L$2,G7,G8,G9)</f>
        <v>0.02</v>
      </c>
      <c r="H6" s="183">
        <f>CHOOSE($L$2,H7,H8,H9)</f>
        <v>0.02</v>
      </c>
      <c r="I6" s="183">
        <f>CHOOSE($L$2,I7,I8,I9)</f>
        <v>0.02</v>
      </c>
    </row>
    <row r="7" spans="2:13" x14ac:dyDescent="0.35">
      <c r="B7" s="1" t="s">
        <v>295</v>
      </c>
      <c r="D7" s="87"/>
      <c r="E7" s="92">
        <v>0</v>
      </c>
      <c r="F7" s="92">
        <v>0</v>
      </c>
      <c r="G7" s="92">
        <v>0</v>
      </c>
      <c r="H7" s="92">
        <v>0</v>
      </c>
      <c r="I7" s="92">
        <v>0</v>
      </c>
    </row>
    <row r="8" spans="2:13" x14ac:dyDescent="0.35">
      <c r="B8" s="1" t="s">
        <v>296</v>
      </c>
      <c r="D8" s="180"/>
      <c r="E8" s="92">
        <v>0.02</v>
      </c>
      <c r="F8" s="92">
        <v>0.02</v>
      </c>
      <c r="G8" s="92">
        <v>0.02</v>
      </c>
      <c r="H8" s="92">
        <v>0.02</v>
      </c>
      <c r="I8" s="92">
        <v>0.02</v>
      </c>
    </row>
    <row r="9" spans="2:13" x14ac:dyDescent="0.35">
      <c r="B9" s="1" t="s">
        <v>297</v>
      </c>
      <c r="D9" s="87"/>
      <c r="E9" s="92">
        <v>0.04</v>
      </c>
      <c r="F9" s="92">
        <v>0.04</v>
      </c>
      <c r="G9" s="92">
        <v>0.04</v>
      </c>
      <c r="H9" s="92">
        <v>0.04</v>
      </c>
      <c r="I9" s="92">
        <v>0.04</v>
      </c>
    </row>
    <row r="11" spans="2:13" x14ac:dyDescent="0.35">
      <c r="B11" s="169" t="s">
        <v>298</v>
      </c>
      <c r="D11" s="95"/>
      <c r="E11" s="324">
        <f>'3 statement Model'!J151</f>
        <v>0.83080767524387422</v>
      </c>
      <c r="F11" s="324">
        <f>'3 statement Model'!K151</f>
        <v>0.85376530199568501</v>
      </c>
      <c r="G11" s="324">
        <f>'3 statement Model'!L151</f>
        <v>0.8720335198306437</v>
      </c>
      <c r="H11" s="324">
        <f>'3 statement Model'!M151</f>
        <v>0.88672452065798568</v>
      </c>
      <c r="I11" s="324">
        <f>'3 statement Model'!N151</f>
        <v>0.89825236184643042</v>
      </c>
    </row>
    <row r="12" spans="2:13" x14ac:dyDescent="0.35">
      <c r="B12" s="30"/>
      <c r="D12" s="172"/>
      <c r="E12" s="25"/>
      <c r="F12" s="25"/>
      <c r="G12" s="25"/>
      <c r="H12" s="25"/>
      <c r="I12" s="25"/>
    </row>
    <row r="13" spans="2:13" x14ac:dyDescent="0.35">
      <c r="B13" s="1"/>
    </row>
    <row r="14" spans="2:13" x14ac:dyDescent="0.35">
      <c r="B14" s="169" t="s">
        <v>299</v>
      </c>
      <c r="D14" s="95"/>
      <c r="E14" s="184">
        <f>CHOOSE($L$2,E15,E16,E17)</f>
        <v>0.81300234944973415</v>
      </c>
      <c r="F14" s="184">
        <f>CHOOSE($L$2,F15,F16,F17)</f>
        <v>0.81300234944973415</v>
      </c>
      <c r="G14" s="184">
        <f>CHOOSE($L$2,G15,G16,G17)</f>
        <v>0.81300234944973415</v>
      </c>
      <c r="H14" s="184">
        <f>CHOOSE($L$2,H15,H16,H17)</f>
        <v>0.81300234944973415</v>
      </c>
      <c r="I14" s="184">
        <f>CHOOSE($L$2,I15,I16,I17)</f>
        <v>0.81300234944973415</v>
      </c>
    </row>
    <row r="15" spans="2:13" x14ac:dyDescent="0.35">
      <c r="B15" s="1" t="s">
        <v>300</v>
      </c>
      <c r="C15" s="172"/>
      <c r="D15" s="185"/>
      <c r="E15" s="44">
        <f>('3 statement Model'!$I$7-'3 statement Model'!$I$12)/'3 statement Model'!$I$7</f>
        <v>0.81300234944973415</v>
      </c>
      <c r="F15" s="44">
        <f>('3 statement Model'!$I$7-'3 statement Model'!$I$12)/'3 statement Model'!$I$7</f>
        <v>0.81300234944973415</v>
      </c>
      <c r="G15" s="44">
        <f>('3 statement Model'!$I$7-'3 statement Model'!$I$12)/'3 statement Model'!$I$7</f>
        <v>0.81300234944973415</v>
      </c>
      <c r="H15" s="44">
        <f>('3 statement Model'!$I$7-'3 statement Model'!$I$12)/'3 statement Model'!$I$7</f>
        <v>0.81300234944973415</v>
      </c>
      <c r="I15" s="44">
        <f>('3 statement Model'!$I$7-'3 statement Model'!$I$12)/'3 statement Model'!$I$7</f>
        <v>0.81300234944973415</v>
      </c>
    </row>
    <row r="16" spans="2:13" x14ac:dyDescent="0.35">
      <c r="B16" s="1" t="s">
        <v>301</v>
      </c>
      <c r="C16" s="172"/>
      <c r="D16" s="185"/>
      <c r="E16" s="44">
        <f>('3 statement Model'!$I$7-'3 statement Model'!$I$12)/'3 statement Model'!$I$7</f>
        <v>0.81300234944973415</v>
      </c>
      <c r="F16" s="44">
        <f>('3 statement Model'!$I$7-'3 statement Model'!$I$12)/'3 statement Model'!$I$7</f>
        <v>0.81300234944973415</v>
      </c>
      <c r="G16" s="44">
        <f>('3 statement Model'!$I$7-'3 statement Model'!$I$12)/'3 statement Model'!$I$7</f>
        <v>0.81300234944973415</v>
      </c>
      <c r="H16" s="44">
        <f>('3 statement Model'!$I$7-'3 statement Model'!$I$12)/'3 statement Model'!$I$7</f>
        <v>0.81300234944973415</v>
      </c>
      <c r="I16" s="44">
        <f>('3 statement Model'!$I$7-'3 statement Model'!$I$12)/'3 statement Model'!$I$7</f>
        <v>0.81300234944973415</v>
      </c>
    </row>
    <row r="17" spans="2:9" x14ac:dyDescent="0.35">
      <c r="B17" s="1" t="s">
        <v>302</v>
      </c>
      <c r="C17" s="172"/>
      <c r="D17" s="185"/>
      <c r="E17" s="44">
        <f>('3 statement Model'!$I$7-'3 statement Model'!$I$12)/'3 statement Model'!$I$7</f>
        <v>0.81300234944973415</v>
      </c>
      <c r="F17" s="44">
        <f>('3 statement Model'!$I$7-'3 statement Model'!$I$12)/'3 statement Model'!$I$7</f>
        <v>0.81300234944973415</v>
      </c>
      <c r="G17" s="44">
        <f>('3 statement Model'!$I$7-'3 statement Model'!$I$12)/'3 statement Model'!$I$7</f>
        <v>0.81300234944973415</v>
      </c>
      <c r="H17" s="44">
        <f>('3 statement Model'!$I$7-'3 statement Model'!$I$12)/'3 statement Model'!$I$7</f>
        <v>0.81300234944973415</v>
      </c>
      <c r="I17" s="44">
        <f>('3 statement Model'!$I$7-'3 statement Model'!$I$12)/'3 statement Model'!$I$7</f>
        <v>0.81300234944973415</v>
      </c>
    </row>
    <row r="18" spans="2:9" x14ac:dyDescent="0.35">
      <c r="B18" s="1"/>
    </row>
    <row r="19" spans="2:9" x14ac:dyDescent="0.35">
      <c r="B19" s="169" t="s">
        <v>303</v>
      </c>
      <c r="D19" s="95"/>
      <c r="E19" s="325">
        <f>1-'3 statement Model'!J156/'3 statement Model'!J146</f>
        <v>0.62402678491411789</v>
      </c>
      <c r="F19" s="325">
        <f>1-'3 statement Model'!K156/'3 statement Model'!K146</f>
        <v>0.62910831079210827</v>
      </c>
      <c r="G19" s="325">
        <f>1-'3 statement Model'!L156/'3 statement Model'!L146</f>
        <v>0.63525419421845708</v>
      </c>
      <c r="H19" s="325">
        <f>1-'3 statement Model'!M156/'3 statement Model'!M146</f>
        <v>0.64045456726344696</v>
      </c>
      <c r="I19" s="325">
        <f>1-'3 statement Model'!N156/'3 statement Model'!N146</f>
        <v>0.64489552795545324</v>
      </c>
    </row>
    <row r="20" spans="2:9" x14ac:dyDescent="0.35">
      <c r="B20" s="30"/>
      <c r="C20" s="172"/>
      <c r="D20" s="172"/>
      <c r="E20" s="25"/>
      <c r="F20" s="25"/>
      <c r="G20" s="25"/>
      <c r="H20" s="25"/>
      <c r="I20" s="25"/>
    </row>
    <row r="21" spans="2:9" x14ac:dyDescent="0.35">
      <c r="B21" s="54" t="s">
        <v>304</v>
      </c>
    </row>
    <row r="22" spans="2:9" x14ac:dyDescent="0.35">
      <c r="B22" s="54" t="s">
        <v>305</v>
      </c>
      <c r="D22" s="95"/>
      <c r="E22" s="184">
        <f>CHOOSE($L$2,E23,E24,E25)</f>
        <v>0.32</v>
      </c>
      <c r="F22" s="184">
        <f>CHOOSE($L$2,F23,F24,F25)</f>
        <v>0.28000000000000003</v>
      </c>
      <c r="G22" s="184">
        <f>CHOOSE($L$2,G23,G24,G25)</f>
        <v>0.24</v>
      </c>
      <c r="H22" s="184">
        <f>CHOOSE($L$2,H23,H24,H25)</f>
        <v>0.21</v>
      </c>
      <c r="I22" s="184">
        <f>CHOOSE($L$2,I23,I24,I25)</f>
        <v>0.18</v>
      </c>
    </row>
    <row r="23" spans="2:9" x14ac:dyDescent="0.35">
      <c r="B23" s="1" t="s">
        <v>295</v>
      </c>
      <c r="D23" s="87"/>
      <c r="E23" s="92">
        <v>0.28999999999999998</v>
      </c>
      <c r="F23" s="92">
        <v>0.24</v>
      </c>
      <c r="G23" s="92">
        <v>0.2</v>
      </c>
      <c r="H23" s="92">
        <v>0.17</v>
      </c>
      <c r="I23" s="92">
        <v>0.15</v>
      </c>
    </row>
    <row r="24" spans="2:9" x14ac:dyDescent="0.35">
      <c r="B24" s="1" t="s">
        <v>296</v>
      </c>
      <c r="D24" s="87"/>
      <c r="E24" s="92">
        <v>0.32</v>
      </c>
      <c r="F24" s="92">
        <v>0.28000000000000003</v>
      </c>
      <c r="G24" s="92">
        <v>0.24</v>
      </c>
      <c r="H24" s="92">
        <v>0.21</v>
      </c>
      <c r="I24" s="92">
        <v>0.18</v>
      </c>
    </row>
    <row r="25" spans="2:9" x14ac:dyDescent="0.35">
      <c r="B25" s="1" t="s">
        <v>297</v>
      </c>
      <c r="D25" s="87"/>
      <c r="E25" s="92">
        <v>0.35</v>
      </c>
      <c r="F25" s="92">
        <v>0.32</v>
      </c>
      <c r="G25" s="92">
        <v>0.28000000000000003</v>
      </c>
      <c r="H25" s="92">
        <v>0.24</v>
      </c>
      <c r="I25" s="92">
        <v>0.21</v>
      </c>
    </row>
    <row r="27" spans="2:9" x14ac:dyDescent="0.35">
      <c r="B27" s="54" t="s">
        <v>306</v>
      </c>
      <c r="D27" s="95"/>
      <c r="E27" s="184">
        <f>CHOOSE($L$2,E28,E29,E30)</f>
        <v>0.12</v>
      </c>
      <c r="F27" s="184">
        <f>CHOOSE($L$2,F28,F29,F30)</f>
        <v>0.12</v>
      </c>
      <c r="G27" s="184">
        <f>CHOOSE($L$2,G28,G29,G30)</f>
        <v>0.11</v>
      </c>
      <c r="H27" s="184">
        <f>CHOOSE($L$2,H28,H29,H30)</f>
        <v>0.1</v>
      </c>
      <c r="I27" s="184">
        <f>CHOOSE($L$2,I28,I29,I30)</f>
        <v>0.09</v>
      </c>
    </row>
    <row r="28" spans="2:9" x14ac:dyDescent="0.35">
      <c r="B28" s="1" t="s">
        <v>295</v>
      </c>
      <c r="D28" s="87"/>
      <c r="E28" s="92">
        <v>0.1</v>
      </c>
      <c r="F28" s="92">
        <v>0.09</v>
      </c>
      <c r="G28" s="92">
        <v>0.08</v>
      </c>
      <c r="H28" s="92">
        <v>7.0000000000000007E-2</v>
      </c>
      <c r="I28" s="92">
        <v>7.0000000000000007E-2</v>
      </c>
    </row>
    <row r="29" spans="2:9" x14ac:dyDescent="0.35">
      <c r="B29" s="1" t="s">
        <v>296</v>
      </c>
      <c r="D29" s="87"/>
      <c r="E29" s="92">
        <v>0.12</v>
      </c>
      <c r="F29" s="92">
        <v>0.12</v>
      </c>
      <c r="G29" s="92">
        <v>0.11</v>
      </c>
      <c r="H29" s="92">
        <v>0.1</v>
      </c>
      <c r="I29" s="92">
        <v>0.09</v>
      </c>
    </row>
    <row r="30" spans="2:9" x14ac:dyDescent="0.35">
      <c r="B30" s="1" t="s">
        <v>297</v>
      </c>
      <c r="D30" s="87"/>
      <c r="E30" s="92">
        <v>0.14000000000000001</v>
      </c>
      <c r="F30" s="92">
        <v>0.14000000000000001</v>
      </c>
      <c r="G30" s="92">
        <v>0.13</v>
      </c>
      <c r="H30" s="92">
        <v>0.12</v>
      </c>
      <c r="I30" s="92">
        <v>0.11</v>
      </c>
    </row>
    <row r="32" spans="2:9" x14ac:dyDescent="0.35">
      <c r="B32" s="55" t="s">
        <v>307</v>
      </c>
      <c r="D32" s="95"/>
      <c r="E32" s="184">
        <f>CHOOSE($L$2,E33,E34,E35)</f>
        <v>-0.05</v>
      </c>
      <c r="F32" s="184">
        <f>CHOOSE($L$2,F33,F34,F35)</f>
        <v>0.01</v>
      </c>
      <c r="G32" s="184">
        <f>CHOOSE($L$2,G33,G34,G35)</f>
        <v>0.02</v>
      </c>
      <c r="H32" s="184">
        <f>CHOOSE($L$2,H33,H34,H35)</f>
        <v>0.03</v>
      </c>
      <c r="I32" s="184">
        <f>CHOOSE($L$2,I33,I34,I35)</f>
        <v>0.03</v>
      </c>
    </row>
    <row r="33" spans="2:9" x14ac:dyDescent="0.35">
      <c r="B33" s="1" t="s">
        <v>295</v>
      </c>
      <c r="D33" s="87"/>
      <c r="E33" s="92">
        <v>-0.08</v>
      </c>
      <c r="F33" s="92">
        <v>-0.03</v>
      </c>
      <c r="G33" s="92">
        <v>0</v>
      </c>
      <c r="H33" s="92">
        <v>0.01</v>
      </c>
      <c r="I33" s="92">
        <v>0.02</v>
      </c>
    </row>
    <row r="34" spans="2:9" x14ac:dyDescent="0.35">
      <c r="B34" s="1" t="s">
        <v>296</v>
      </c>
      <c r="D34" s="87"/>
      <c r="E34" s="92">
        <v>-0.05</v>
      </c>
      <c r="F34" s="92">
        <v>0.01</v>
      </c>
      <c r="G34" s="92">
        <v>0.02</v>
      </c>
      <c r="H34" s="92">
        <v>0.03</v>
      </c>
      <c r="I34" s="92">
        <v>0.03</v>
      </c>
    </row>
    <row r="35" spans="2:9" x14ac:dyDescent="0.35">
      <c r="B35" s="1" t="s">
        <v>297</v>
      </c>
      <c r="D35" s="87"/>
      <c r="E35" s="92">
        <v>-0.02</v>
      </c>
      <c r="F35" s="92">
        <v>0.04</v>
      </c>
      <c r="G35" s="92">
        <v>0.05</v>
      </c>
      <c r="H35" s="92">
        <v>0.05</v>
      </c>
      <c r="I35" s="92">
        <v>0.04</v>
      </c>
    </row>
    <row r="37" spans="2:9" x14ac:dyDescent="0.35">
      <c r="B37" s="173" t="s">
        <v>308</v>
      </c>
      <c r="D37" s="95"/>
      <c r="E37" s="184">
        <f>CHOOSE($L$2,E38,E39,E40)</f>
        <v>0.65600000000000003</v>
      </c>
      <c r="F37" s="184">
        <f>CHOOSE($L$2,F38,F39,F40)</f>
        <v>0.65600000000000003</v>
      </c>
      <c r="G37" s="184">
        <f>CHOOSE($L$2,G38,G39,G40)</f>
        <v>0.65800000000000003</v>
      </c>
      <c r="H37" s="184">
        <f>CHOOSE($L$2,H38,H39,H40)</f>
        <v>0.66</v>
      </c>
      <c r="I37" s="184">
        <f>CHOOSE($L$2,I38,I39,I40)</f>
        <v>0.66200000000000003</v>
      </c>
    </row>
    <row r="38" spans="2:9" x14ac:dyDescent="0.35">
      <c r="B38" s="1" t="s">
        <v>295</v>
      </c>
      <c r="D38" s="87"/>
      <c r="E38" s="92">
        <v>0.65900000000000003</v>
      </c>
      <c r="F38" s="92">
        <v>0.65</v>
      </c>
      <c r="G38" s="92">
        <v>0.64800000000000002</v>
      </c>
      <c r="H38" s="92">
        <v>0.64700000000000002</v>
      </c>
      <c r="I38" s="92">
        <v>0.64800000000000002</v>
      </c>
    </row>
    <row r="39" spans="2:9" x14ac:dyDescent="0.35">
      <c r="B39" s="1" t="s">
        <v>296</v>
      </c>
      <c r="D39" s="87"/>
      <c r="E39" s="92">
        <v>0.65600000000000003</v>
      </c>
      <c r="F39" s="92">
        <v>0.65600000000000003</v>
      </c>
      <c r="G39" s="92">
        <v>0.65800000000000003</v>
      </c>
      <c r="H39" s="92">
        <v>0.66</v>
      </c>
      <c r="I39" s="92">
        <v>0.66200000000000003</v>
      </c>
    </row>
    <row r="40" spans="2:9" x14ac:dyDescent="0.35">
      <c r="B40" s="1" t="s">
        <v>297</v>
      </c>
      <c r="D40" s="87"/>
      <c r="E40" s="92">
        <v>0.65300000000000002</v>
      </c>
      <c r="F40" s="92">
        <v>0.65800000000000003</v>
      </c>
      <c r="G40" s="92">
        <v>0.66200000000000003</v>
      </c>
      <c r="H40" s="92">
        <v>0.66500000000000004</v>
      </c>
      <c r="I40" s="92">
        <v>0.66800000000000004</v>
      </c>
    </row>
    <row r="42" spans="2:9" x14ac:dyDescent="0.35">
      <c r="B42" s="173" t="s">
        <v>309</v>
      </c>
      <c r="D42" s="95"/>
      <c r="E42" s="184">
        <f>CHOOSE($L$2,E43,E44,E45)</f>
        <v>0.46400000000000002</v>
      </c>
      <c r="F42" s="184">
        <f>CHOOSE($L$2,F43,F44,F45)</f>
        <v>0.46600000000000003</v>
      </c>
      <c r="G42" s="184">
        <f>CHOOSE($L$2,G43,G44,G45)</f>
        <v>0.47099999999999997</v>
      </c>
      <c r="H42" s="184">
        <f>CHOOSE($L$2,H43,H44,H45)</f>
        <v>0.47499999999999998</v>
      </c>
      <c r="I42" s="184">
        <f>CHOOSE($L$2,I43,I44,I45)</f>
        <v>0.48099999999999998</v>
      </c>
    </row>
    <row r="43" spans="2:9" x14ac:dyDescent="0.35">
      <c r="B43" s="1" t="s">
        <v>295</v>
      </c>
      <c r="D43" s="87"/>
      <c r="E43" s="92">
        <v>0.46</v>
      </c>
      <c r="F43" s="92">
        <v>0.44800000000000001</v>
      </c>
      <c r="G43" s="92">
        <v>0.44500000000000001</v>
      </c>
      <c r="H43" s="92">
        <v>0.44400000000000001</v>
      </c>
      <c r="I43" s="92">
        <v>0.44500000000000001</v>
      </c>
    </row>
    <row r="44" spans="2:9" x14ac:dyDescent="0.35">
      <c r="B44" s="1" t="s">
        <v>296</v>
      </c>
      <c r="D44" s="87"/>
      <c r="E44" s="92">
        <v>0.46400000000000002</v>
      </c>
      <c r="F44" s="92">
        <v>0.46600000000000003</v>
      </c>
      <c r="G44" s="92">
        <v>0.47099999999999997</v>
      </c>
      <c r="H44" s="92">
        <v>0.47499999999999998</v>
      </c>
      <c r="I44" s="92">
        <v>0.48099999999999998</v>
      </c>
    </row>
    <row r="45" spans="2:9" x14ac:dyDescent="0.35">
      <c r="B45" s="1" t="s">
        <v>297</v>
      </c>
      <c r="D45" s="87"/>
      <c r="E45" s="92">
        <v>0.46600000000000003</v>
      </c>
      <c r="F45" s="92">
        <v>0.47399999999999998</v>
      </c>
      <c r="G45" s="92">
        <v>0.48199999999999998</v>
      </c>
      <c r="H45" s="92">
        <v>0.49</v>
      </c>
      <c r="I45" s="92">
        <v>0.496</v>
      </c>
    </row>
    <row r="46" spans="2:9" x14ac:dyDescent="0.35">
      <c r="B46" s="1"/>
    </row>
    <row r="47" spans="2:9" x14ac:dyDescent="0.35">
      <c r="B47" s="55" t="s">
        <v>310</v>
      </c>
      <c r="D47" s="95"/>
      <c r="E47" s="184">
        <f>CHOOSE($L$2,E48,E49,E50)</f>
        <v>9.9000000000000005E-2</v>
      </c>
      <c r="F47" s="184">
        <f>CHOOSE($L$2,F48,F49,F50)</f>
        <v>9.8000000000000004E-2</v>
      </c>
      <c r="G47" s="184">
        <f>CHOOSE($L$2,G48,G49,G50)</f>
        <v>9.7000000000000003E-2</v>
      </c>
      <c r="H47" s="184">
        <f>CHOOSE($L$2,H48,H49,H50)</f>
        <v>9.6000000000000002E-2</v>
      </c>
      <c r="I47" s="184">
        <f>CHOOSE($L$2,I48,I49,I50)</f>
        <v>9.4E-2</v>
      </c>
    </row>
    <row r="48" spans="2:9" x14ac:dyDescent="0.35">
      <c r="B48" s="1" t="s">
        <v>295</v>
      </c>
      <c r="D48" s="87"/>
      <c r="E48" s="181">
        <v>0.10299999999999999</v>
      </c>
      <c r="F48" s="181">
        <v>0.104</v>
      </c>
      <c r="G48" s="181">
        <v>0.105</v>
      </c>
      <c r="H48" s="181">
        <v>0.105</v>
      </c>
      <c r="I48" s="181">
        <v>0.105</v>
      </c>
    </row>
    <row r="49" spans="2:9" x14ac:dyDescent="0.35">
      <c r="B49" s="1" t="s">
        <v>296</v>
      </c>
      <c r="D49" s="87"/>
      <c r="E49" s="181">
        <v>9.9000000000000005E-2</v>
      </c>
      <c r="F49" s="181">
        <v>9.8000000000000004E-2</v>
      </c>
      <c r="G49" s="181">
        <v>9.7000000000000003E-2</v>
      </c>
      <c r="H49" s="181">
        <v>9.6000000000000002E-2</v>
      </c>
      <c r="I49" s="181">
        <v>9.4E-2</v>
      </c>
    </row>
    <row r="50" spans="2:9" x14ac:dyDescent="0.35">
      <c r="B50" s="1" t="s">
        <v>297</v>
      </c>
      <c r="D50" s="87"/>
      <c r="E50" s="181">
        <v>9.6000000000000002E-2</v>
      </c>
      <c r="F50" s="181">
        <v>9.5000000000000001E-2</v>
      </c>
      <c r="G50" s="181">
        <v>9.2999999999999999E-2</v>
      </c>
      <c r="H50" s="181">
        <v>9.0999999999999998E-2</v>
      </c>
      <c r="I50" s="181">
        <v>0.09</v>
      </c>
    </row>
    <row r="52" spans="2:9" x14ac:dyDescent="0.35">
      <c r="B52" s="54" t="s">
        <v>311</v>
      </c>
      <c r="D52" s="95"/>
      <c r="E52" s="184">
        <f>CHOOSE($L$2,E53,E54,E55)</f>
        <v>7.1999999999999995E-2</v>
      </c>
      <c r="F52" s="184">
        <f>CHOOSE($L$2,F53,F54,F55)</f>
        <v>7.0999999999999994E-2</v>
      </c>
      <c r="G52" s="184">
        <f>CHOOSE($L$2,G53,G54,G55)</f>
        <v>7.0000000000000007E-2</v>
      </c>
      <c r="H52" s="184">
        <f>CHOOSE($L$2,H53,H54,H55)</f>
        <v>6.9000000000000006E-2</v>
      </c>
      <c r="I52" s="184">
        <f>CHOOSE($L$2,I53,I54,I55)</f>
        <v>6.7000000000000004E-2</v>
      </c>
    </row>
    <row r="53" spans="2:9" x14ac:dyDescent="0.35">
      <c r="B53" s="1" t="s">
        <v>295</v>
      </c>
      <c r="D53" s="87"/>
      <c r="E53" s="181">
        <v>7.3999999999999996E-2</v>
      </c>
      <c r="F53" s="181">
        <v>7.4999999999999997E-2</v>
      </c>
      <c r="G53" s="181">
        <v>7.4999999999999997E-2</v>
      </c>
      <c r="H53" s="181">
        <v>7.4999999999999997E-2</v>
      </c>
      <c r="I53" s="181">
        <v>7.4999999999999997E-2</v>
      </c>
    </row>
    <row r="54" spans="2:9" x14ac:dyDescent="0.35">
      <c r="B54" s="1" t="s">
        <v>296</v>
      </c>
      <c r="D54" s="87"/>
      <c r="E54" s="181">
        <v>7.1999999999999995E-2</v>
      </c>
      <c r="F54" s="181">
        <v>7.0999999999999994E-2</v>
      </c>
      <c r="G54" s="181">
        <v>7.0000000000000007E-2</v>
      </c>
      <c r="H54" s="181">
        <v>6.9000000000000006E-2</v>
      </c>
      <c r="I54" s="181">
        <v>6.7000000000000004E-2</v>
      </c>
    </row>
    <row r="55" spans="2:9" x14ac:dyDescent="0.35">
      <c r="B55" s="1" t="s">
        <v>297</v>
      </c>
      <c r="D55" s="87"/>
      <c r="E55" s="181">
        <v>7.0000000000000007E-2</v>
      </c>
      <c r="F55" s="181">
        <v>6.9000000000000006E-2</v>
      </c>
      <c r="G55" s="181">
        <v>6.7000000000000004E-2</v>
      </c>
      <c r="H55" s="181">
        <v>6.5000000000000002E-2</v>
      </c>
      <c r="I55" s="181">
        <v>6.3E-2</v>
      </c>
    </row>
    <row r="56" spans="2:9" x14ac:dyDescent="0.35">
      <c r="B56" s="1"/>
    </row>
    <row r="57" spans="2:9" x14ac:dyDescent="0.35">
      <c r="B57" s="54" t="s">
        <v>312</v>
      </c>
      <c r="D57" s="95"/>
      <c r="E57" s="184">
        <f>CHOOSE($L$2,E58,E59,E60)</f>
        <v>2.1000000000000001E-2</v>
      </c>
      <c r="F57" s="184">
        <f>CHOOSE($L$2,F58,F59,F60)</f>
        <v>2.1000000000000001E-2</v>
      </c>
      <c r="G57" s="184">
        <f>CHOOSE($L$2,G58,G59,G60)</f>
        <v>0.02</v>
      </c>
      <c r="H57" s="184">
        <f>CHOOSE($L$2,H58,H59,H60)</f>
        <v>0.02</v>
      </c>
      <c r="I57" s="184">
        <f>CHOOSE($L$2,I58,I59,I60)</f>
        <v>0.02</v>
      </c>
    </row>
    <row r="58" spans="2:9" x14ac:dyDescent="0.35">
      <c r="B58" s="1" t="s">
        <v>295</v>
      </c>
      <c r="D58" s="87"/>
      <c r="E58" s="181">
        <v>2.1999999999999999E-2</v>
      </c>
      <c r="F58" s="181">
        <v>2.3E-2</v>
      </c>
      <c r="G58" s="181">
        <v>2.3E-2</v>
      </c>
      <c r="H58" s="181">
        <v>2.3E-2</v>
      </c>
      <c r="I58" s="181">
        <v>2.3E-2</v>
      </c>
    </row>
    <row r="59" spans="2:9" x14ac:dyDescent="0.35">
      <c r="B59" s="1" t="s">
        <v>296</v>
      </c>
      <c r="D59" s="87"/>
      <c r="E59" s="181">
        <v>2.1000000000000001E-2</v>
      </c>
      <c r="F59" s="181">
        <v>2.1000000000000001E-2</v>
      </c>
      <c r="G59" s="181">
        <v>0.02</v>
      </c>
      <c r="H59" s="181">
        <v>0.02</v>
      </c>
      <c r="I59" s="181">
        <v>0.02</v>
      </c>
    </row>
    <row r="60" spans="2:9" x14ac:dyDescent="0.35">
      <c r="B60" s="1" t="s">
        <v>297</v>
      </c>
      <c r="D60" s="87"/>
      <c r="E60" s="181">
        <v>2.1000000000000001E-2</v>
      </c>
      <c r="F60" s="181">
        <v>0.02</v>
      </c>
      <c r="G60" s="181">
        <v>0.02</v>
      </c>
      <c r="H60" s="181">
        <v>1.9E-2</v>
      </c>
      <c r="I60" s="181">
        <v>1.9E-2</v>
      </c>
    </row>
    <row r="62" spans="2:9" x14ac:dyDescent="0.35">
      <c r="B62" s="54" t="s">
        <v>313</v>
      </c>
      <c r="D62" s="95"/>
      <c r="E62" s="186">
        <f>CHOOSE($L$2,E63,E64,E65)</f>
        <v>140000</v>
      </c>
      <c r="F62" s="186">
        <f>CHOOSE($L$2,F63,F64,F65)</f>
        <v>155000</v>
      </c>
      <c r="G62" s="186">
        <f>CHOOSE($L$2,G63,G64,G65)</f>
        <v>170000</v>
      </c>
      <c r="H62" s="186">
        <f>CHOOSE($L$2,H63,H64,H65)</f>
        <v>185000</v>
      </c>
      <c r="I62" s="186">
        <f>CHOOSE($L$2,I63,I64,I65)</f>
        <v>200000</v>
      </c>
    </row>
    <row r="63" spans="2:9" x14ac:dyDescent="0.35">
      <c r="B63" s="1" t="s">
        <v>295</v>
      </c>
      <c r="D63" s="87"/>
      <c r="E63" s="91">
        <v>150000</v>
      </c>
      <c r="F63" s="91">
        <v>165000</v>
      </c>
      <c r="G63" s="91">
        <v>178000</v>
      </c>
      <c r="H63" s="91">
        <v>190000</v>
      </c>
      <c r="I63" s="91">
        <v>200000</v>
      </c>
    </row>
    <row r="64" spans="2:9" x14ac:dyDescent="0.35">
      <c r="B64" s="1" t="s">
        <v>296</v>
      </c>
      <c r="D64" s="87"/>
      <c r="E64" s="91">
        <v>140000</v>
      </c>
      <c r="F64" s="91">
        <v>155000</v>
      </c>
      <c r="G64" s="91">
        <v>170000</v>
      </c>
      <c r="H64" s="91">
        <v>185000</v>
      </c>
      <c r="I64" s="91">
        <v>200000</v>
      </c>
    </row>
    <row r="65" spans="2:9" x14ac:dyDescent="0.35">
      <c r="B65" s="1" t="s">
        <v>297</v>
      </c>
      <c r="D65" s="87"/>
      <c r="E65" s="91">
        <v>145000</v>
      </c>
      <c r="F65" s="91">
        <v>165000</v>
      </c>
      <c r="G65" s="91">
        <v>185000</v>
      </c>
      <c r="H65" s="91">
        <v>205000</v>
      </c>
      <c r="I65" s="91">
        <v>215000</v>
      </c>
    </row>
    <row r="67" spans="2:9" x14ac:dyDescent="0.35">
      <c r="B67" s="55" t="s">
        <v>314</v>
      </c>
      <c r="D67" s="95"/>
      <c r="E67" s="184">
        <f>CHOOSE($L$2,E68,E69,E70)</f>
        <v>3.6999999999999998E-2</v>
      </c>
      <c r="F67" s="184">
        <f>CHOOSE($L$2,F68,F69,F70)</f>
        <v>3.5999999999999997E-2</v>
      </c>
      <c r="G67" s="184">
        <f>CHOOSE($L$2,G68,G69,G70)</f>
        <v>3.5000000000000003E-2</v>
      </c>
      <c r="H67" s="184">
        <f>CHOOSE($L$2,H68,H69,H70)</f>
        <v>3.4000000000000002E-2</v>
      </c>
      <c r="I67" s="184">
        <f>CHOOSE($L$2,I68,I69,I70)</f>
        <v>3.3000000000000002E-2</v>
      </c>
    </row>
    <row r="68" spans="2:9" x14ac:dyDescent="0.35">
      <c r="B68" s="1" t="s">
        <v>295</v>
      </c>
      <c r="D68" s="180"/>
      <c r="E68" s="181">
        <v>0.04</v>
      </c>
      <c r="F68" s="181">
        <v>0.04</v>
      </c>
      <c r="G68" s="181">
        <v>0.04</v>
      </c>
      <c r="H68" s="181">
        <v>0.04</v>
      </c>
      <c r="I68" s="181">
        <v>0.04</v>
      </c>
    </row>
    <row r="69" spans="2:9" x14ac:dyDescent="0.35">
      <c r="B69" s="1" t="s">
        <v>296</v>
      </c>
      <c r="D69" s="87"/>
      <c r="E69" s="181">
        <v>3.6999999999999998E-2</v>
      </c>
      <c r="F69" s="181">
        <v>3.5999999999999997E-2</v>
      </c>
      <c r="G69" s="181">
        <v>3.5000000000000003E-2</v>
      </c>
      <c r="H69" s="181">
        <v>3.4000000000000002E-2</v>
      </c>
      <c r="I69" s="181">
        <v>3.3000000000000002E-2</v>
      </c>
    </row>
    <row r="70" spans="2:9" x14ac:dyDescent="0.35">
      <c r="B70" s="1" t="s">
        <v>297</v>
      </c>
      <c r="D70" s="87"/>
      <c r="E70" s="181">
        <v>3.5999999999999997E-2</v>
      </c>
      <c r="F70" s="181">
        <v>3.4000000000000002E-2</v>
      </c>
      <c r="G70" s="181">
        <v>3.3000000000000002E-2</v>
      </c>
      <c r="H70" s="181">
        <v>3.1E-2</v>
      </c>
      <c r="I70" s="181">
        <v>0.03</v>
      </c>
    </row>
    <row r="72" spans="2:9" x14ac:dyDescent="0.35">
      <c r="B72" s="55" t="s">
        <v>315</v>
      </c>
      <c r="D72" s="95"/>
      <c r="E72" s="186">
        <f>CHOOSE($L$2,E73,E74,E75)</f>
        <v>89</v>
      </c>
      <c r="F72" s="186">
        <f>CHOOSE($L$2,F73,F74,F75)</f>
        <v>89</v>
      </c>
      <c r="G72" s="186">
        <f>CHOOSE($L$2,G73,G74,G75)</f>
        <v>88</v>
      </c>
      <c r="H72" s="186">
        <f>CHOOSE($L$2,H73,H74,H75)</f>
        <v>88</v>
      </c>
      <c r="I72" s="186">
        <f>CHOOSE($L$2,I73,I74,I75)</f>
        <v>87</v>
      </c>
    </row>
    <row r="73" spans="2:9" x14ac:dyDescent="0.35">
      <c r="B73" s="1" t="s">
        <v>295</v>
      </c>
      <c r="D73" s="87"/>
      <c r="E73" s="91">
        <v>92</v>
      </c>
      <c r="F73" s="91">
        <v>93</v>
      </c>
      <c r="G73" s="91">
        <v>94</v>
      </c>
      <c r="H73" s="91">
        <v>95</v>
      </c>
      <c r="I73" s="91">
        <v>96</v>
      </c>
    </row>
    <row r="74" spans="2:9" x14ac:dyDescent="0.35">
      <c r="B74" s="1" t="s">
        <v>296</v>
      </c>
      <c r="D74" s="87"/>
      <c r="E74" s="91">
        <v>89</v>
      </c>
      <c r="F74" s="91">
        <v>89</v>
      </c>
      <c r="G74" s="91">
        <v>88</v>
      </c>
      <c r="H74" s="91">
        <v>88</v>
      </c>
      <c r="I74" s="91">
        <v>87</v>
      </c>
    </row>
    <row r="75" spans="2:9" x14ac:dyDescent="0.35">
      <c r="B75" s="1" t="s">
        <v>297</v>
      </c>
      <c r="D75" s="87"/>
      <c r="E75" s="91">
        <v>86</v>
      </c>
      <c r="F75" s="91">
        <v>85</v>
      </c>
      <c r="G75" s="91">
        <v>84</v>
      </c>
      <c r="H75" s="91">
        <v>83</v>
      </c>
      <c r="I75" s="91">
        <v>82</v>
      </c>
    </row>
    <row r="77" spans="2:9" x14ac:dyDescent="0.35">
      <c r="B77" s="1" t="s">
        <v>316</v>
      </c>
      <c r="D77" s="95"/>
      <c r="E77" s="186">
        <f>CHOOSE($L$2,E78,E79,E80)</f>
        <v>140</v>
      </c>
      <c r="F77" s="186">
        <f>CHOOSE($L$2,F78,F79,F80)</f>
        <v>135</v>
      </c>
      <c r="G77" s="186">
        <f>CHOOSE($L$2,G78,G79,G80)</f>
        <v>130</v>
      </c>
      <c r="H77" s="186">
        <f>CHOOSE($L$2,H78,H79,H80)</f>
        <v>125</v>
      </c>
      <c r="I77" s="186">
        <f>CHOOSE($L$2,I78,I79,I80)</f>
        <v>120</v>
      </c>
    </row>
    <row r="78" spans="2:9" x14ac:dyDescent="0.35">
      <c r="B78" s="1" t="s">
        <v>295</v>
      </c>
      <c r="D78" s="87"/>
      <c r="E78" s="91">
        <v>120</v>
      </c>
      <c r="F78" s="91">
        <v>115</v>
      </c>
      <c r="G78" s="91">
        <v>110</v>
      </c>
      <c r="H78" s="91">
        <v>105</v>
      </c>
      <c r="I78" s="91">
        <v>100</v>
      </c>
    </row>
    <row r="79" spans="2:9" x14ac:dyDescent="0.35">
      <c r="B79" s="1" t="s">
        <v>296</v>
      </c>
      <c r="D79" s="87"/>
      <c r="E79" s="91">
        <v>140</v>
      </c>
      <c r="F79" s="91">
        <v>135</v>
      </c>
      <c r="G79" s="91">
        <v>130</v>
      </c>
      <c r="H79" s="91">
        <v>125</v>
      </c>
      <c r="I79" s="91">
        <v>120</v>
      </c>
    </row>
    <row r="80" spans="2:9" x14ac:dyDescent="0.35">
      <c r="B80" s="1" t="s">
        <v>297</v>
      </c>
      <c r="D80" s="87"/>
      <c r="E80" s="91">
        <v>150</v>
      </c>
      <c r="F80" s="91">
        <v>145</v>
      </c>
      <c r="G80" s="91">
        <v>140</v>
      </c>
      <c r="H80" s="91">
        <v>135</v>
      </c>
      <c r="I80" s="91">
        <v>130</v>
      </c>
    </row>
    <row r="82" spans="2:12" x14ac:dyDescent="0.35">
      <c r="B82" s="55" t="s">
        <v>317</v>
      </c>
      <c r="D82" s="95"/>
      <c r="E82" s="186">
        <f>CHOOSE($L$2,E83,E84,E85)</f>
        <v>5</v>
      </c>
      <c r="F82" s="186">
        <f>CHOOSE($L$2,F83,F84,F85)</f>
        <v>5</v>
      </c>
      <c r="G82" s="186">
        <f>CHOOSE($L$2,G83,G84,G85)</f>
        <v>5</v>
      </c>
      <c r="H82" s="186">
        <f>CHOOSE($L$2,H83,H84,H85)</f>
        <v>5</v>
      </c>
      <c r="I82" s="186">
        <f>CHOOSE($L$2,I83,I84,I85)</f>
        <v>5</v>
      </c>
    </row>
    <row r="83" spans="2:12" x14ac:dyDescent="0.35">
      <c r="B83" s="1" t="s">
        <v>295</v>
      </c>
      <c r="D83" s="87"/>
      <c r="E83" s="91">
        <v>7</v>
      </c>
      <c r="F83" s="91">
        <v>7</v>
      </c>
      <c r="G83" s="91">
        <v>7</v>
      </c>
      <c r="H83" s="91">
        <v>7</v>
      </c>
      <c r="I83" s="91">
        <v>7</v>
      </c>
    </row>
    <row r="84" spans="2:12" x14ac:dyDescent="0.35">
      <c r="B84" s="1" t="s">
        <v>296</v>
      </c>
      <c r="D84" s="87"/>
      <c r="E84" s="91">
        <v>5</v>
      </c>
      <c r="F84" s="91">
        <v>5</v>
      </c>
      <c r="G84" s="91">
        <v>5</v>
      </c>
      <c r="H84" s="91">
        <v>5</v>
      </c>
      <c r="I84" s="91">
        <v>5</v>
      </c>
    </row>
    <row r="85" spans="2:12" x14ac:dyDescent="0.35">
      <c r="B85" s="1" t="s">
        <v>297</v>
      </c>
      <c r="D85" s="87"/>
      <c r="E85" s="91">
        <v>4</v>
      </c>
      <c r="F85" s="91">
        <v>4</v>
      </c>
      <c r="G85" s="91">
        <v>4</v>
      </c>
      <c r="H85" s="91">
        <v>4</v>
      </c>
      <c r="I85" s="91">
        <v>4</v>
      </c>
    </row>
    <row r="87" spans="2:12" x14ac:dyDescent="0.35">
      <c r="B87" s="55" t="s">
        <v>318</v>
      </c>
      <c r="E87" s="174" t="s">
        <v>300</v>
      </c>
      <c r="F87" s="174" t="s">
        <v>301</v>
      </c>
      <c r="G87" s="174" t="s">
        <v>302</v>
      </c>
      <c r="H87" s="175" t="s">
        <v>319</v>
      </c>
    </row>
    <row r="88" spans="2:12" x14ac:dyDescent="0.35">
      <c r="B88" s="1" t="s">
        <v>320</v>
      </c>
      <c r="D88" s="87"/>
      <c r="E88" s="181">
        <v>0.06</v>
      </c>
      <c r="F88" s="181">
        <v>0.05</v>
      </c>
      <c r="G88" s="181">
        <v>4.4999999999999998E-2</v>
      </c>
      <c r="H88" s="282">
        <f t="shared" ref="H88:H101" si="0">CHOOSE($L$2,E88,F88,G88)</f>
        <v>0.05</v>
      </c>
      <c r="K88" s="95" t="s">
        <v>321</v>
      </c>
      <c r="L88" s="88">
        <v>7425.55</v>
      </c>
    </row>
    <row r="89" spans="2:12" x14ac:dyDescent="0.35">
      <c r="B89" t="s">
        <v>322</v>
      </c>
      <c r="D89" s="87"/>
      <c r="E89" s="181">
        <v>0.21</v>
      </c>
      <c r="F89" s="181">
        <v>0.2</v>
      </c>
      <c r="G89" s="181">
        <v>0.19</v>
      </c>
      <c r="H89" s="282">
        <f t="shared" si="0"/>
        <v>0.2</v>
      </c>
      <c r="K89" s="95" t="s">
        <v>323</v>
      </c>
      <c r="L89" s="91">
        <v>12</v>
      </c>
    </row>
    <row r="90" spans="2:12" x14ac:dyDescent="0.35">
      <c r="B90" t="s">
        <v>324</v>
      </c>
      <c r="D90" s="87"/>
      <c r="E90" s="181">
        <v>5.0000000000000001E-3</v>
      </c>
      <c r="F90" s="181">
        <v>0.01</v>
      </c>
      <c r="G90" s="181">
        <v>1.4999999999999999E-2</v>
      </c>
      <c r="H90" s="282">
        <f t="shared" si="0"/>
        <v>0.01</v>
      </c>
      <c r="K90" s="95" t="s">
        <v>492</v>
      </c>
      <c r="L90" s="92">
        <v>4.4999999999999998E-2</v>
      </c>
    </row>
    <row r="91" spans="2:12" x14ac:dyDescent="0.35">
      <c r="B91" t="s">
        <v>478</v>
      </c>
      <c r="E91" s="25"/>
      <c r="F91" s="25"/>
      <c r="G91" s="163"/>
      <c r="H91" s="282">
        <f t="shared" si="0"/>
        <v>0</v>
      </c>
      <c r="K91" s="95" t="s">
        <v>493</v>
      </c>
      <c r="L91" s="92">
        <v>3.6999999999999998E-2</v>
      </c>
    </row>
    <row r="92" spans="2:12" x14ac:dyDescent="0.35">
      <c r="B92" t="s">
        <v>325</v>
      </c>
      <c r="D92" s="87"/>
      <c r="E92" s="181">
        <v>0.2</v>
      </c>
      <c r="F92" s="181">
        <v>0.22</v>
      </c>
      <c r="G92" s="181">
        <v>0.24</v>
      </c>
      <c r="H92" s="282">
        <f t="shared" si="0"/>
        <v>0.22</v>
      </c>
      <c r="K92" s="95" t="s">
        <v>494</v>
      </c>
      <c r="L92" s="44">
        <f>6968/AVERAGE('3 statement Model'!$H$99,'3 statement Model'!$I$99)</f>
        <v>0.2844081632653061</v>
      </c>
    </row>
    <row r="93" spans="2:12" x14ac:dyDescent="0.35">
      <c r="B93" t="s">
        <v>326</v>
      </c>
      <c r="D93" s="87"/>
      <c r="E93" s="91">
        <v>10000</v>
      </c>
      <c r="F93" s="91">
        <v>15000</v>
      </c>
      <c r="G93" s="91">
        <v>20000</v>
      </c>
      <c r="H93" s="283">
        <f t="shared" si="0"/>
        <v>15000</v>
      </c>
      <c r="K93" s="95" t="s">
        <v>495</v>
      </c>
      <c r="L93" s="19">
        <f>6443/6968</f>
        <v>0.92465556831228468</v>
      </c>
    </row>
    <row r="94" spans="2:12" x14ac:dyDescent="0.35">
      <c r="B94" t="s">
        <v>327</v>
      </c>
      <c r="D94" s="87"/>
      <c r="E94" s="181">
        <v>0.18</v>
      </c>
      <c r="F94" s="181">
        <v>0.2</v>
      </c>
      <c r="G94" s="181">
        <v>0.22</v>
      </c>
      <c r="H94" s="282">
        <f t="shared" si="0"/>
        <v>0.2</v>
      </c>
      <c r="K94" s="95" t="s">
        <v>496</v>
      </c>
      <c r="L94" s="91">
        <v>5393</v>
      </c>
    </row>
    <row r="95" spans="2:12" x14ac:dyDescent="0.35">
      <c r="B95" t="s">
        <v>479</v>
      </c>
      <c r="E95" s="26"/>
      <c r="F95" s="26"/>
      <c r="G95" s="7"/>
      <c r="H95" s="283">
        <f t="shared" si="0"/>
        <v>0</v>
      </c>
      <c r="K95" s="95" t="s">
        <v>497</v>
      </c>
      <c r="L95" s="91">
        <v>4290</v>
      </c>
    </row>
    <row r="96" spans="2:12" x14ac:dyDescent="0.35">
      <c r="B96" t="s">
        <v>480</v>
      </c>
      <c r="E96" s="26"/>
      <c r="F96" s="26"/>
      <c r="G96" s="7"/>
      <c r="H96" s="283">
        <f t="shared" si="0"/>
        <v>0</v>
      </c>
      <c r="K96" s="95" t="s">
        <v>498</v>
      </c>
      <c r="L96" s="91">
        <v>62304</v>
      </c>
    </row>
    <row r="97" spans="2:12" x14ac:dyDescent="0.35">
      <c r="B97" t="s">
        <v>328</v>
      </c>
      <c r="D97" s="87"/>
      <c r="E97" s="92">
        <v>0.12</v>
      </c>
      <c r="F97" s="92">
        <v>0.13</v>
      </c>
      <c r="G97" s="92">
        <v>0.14000000000000001</v>
      </c>
      <c r="H97" s="282">
        <f t="shared" si="0"/>
        <v>0.13</v>
      </c>
      <c r="K97" s="95" t="s">
        <v>499</v>
      </c>
      <c r="L97" s="92">
        <v>0.05</v>
      </c>
    </row>
    <row r="98" spans="2:12" x14ac:dyDescent="0.35">
      <c r="B98" t="s">
        <v>329</v>
      </c>
      <c r="D98" s="87"/>
      <c r="E98" s="181">
        <v>2E-3</v>
      </c>
      <c r="F98" s="181">
        <v>5.0000000000000001E-3</v>
      </c>
      <c r="G98" s="181">
        <v>0.01</v>
      </c>
      <c r="H98" s="282">
        <f t="shared" si="0"/>
        <v>5.0000000000000001E-3</v>
      </c>
    </row>
    <row r="99" spans="2:12" x14ac:dyDescent="0.35">
      <c r="B99" t="s">
        <v>330</v>
      </c>
      <c r="D99" s="87"/>
      <c r="E99" s="181">
        <v>0.03</v>
      </c>
      <c r="F99" s="181">
        <v>3.5000000000000003E-2</v>
      </c>
      <c r="G99" s="181">
        <v>0.04</v>
      </c>
      <c r="H99" s="282">
        <f t="shared" si="0"/>
        <v>3.5000000000000003E-2</v>
      </c>
    </row>
    <row r="100" spans="2:12" x14ac:dyDescent="0.35">
      <c r="B100" t="s">
        <v>481</v>
      </c>
      <c r="E100" s="25"/>
      <c r="F100" s="25"/>
      <c r="G100" s="163"/>
      <c r="H100" s="282">
        <f t="shared" si="0"/>
        <v>0</v>
      </c>
    </row>
    <row r="101" spans="2:12" x14ac:dyDescent="0.35">
      <c r="B101" t="s">
        <v>331</v>
      </c>
      <c r="D101" s="87"/>
      <c r="E101" s="181">
        <v>0.12</v>
      </c>
      <c r="F101" s="181">
        <v>0.15</v>
      </c>
      <c r="G101" s="181">
        <v>0.18</v>
      </c>
      <c r="H101" s="282">
        <f t="shared" si="0"/>
        <v>0.15</v>
      </c>
    </row>
    <row r="102" spans="2:12" x14ac:dyDescent="0.35">
      <c r="E102" s="25"/>
      <c r="F102" s="25"/>
      <c r="G102" s="25"/>
    </row>
    <row r="103" spans="2:12" x14ac:dyDescent="0.35">
      <c r="B103" s="54" t="s">
        <v>332</v>
      </c>
      <c r="H103" s="175" t="s">
        <v>319</v>
      </c>
    </row>
    <row r="104" spans="2:12" x14ac:dyDescent="0.35">
      <c r="B104" t="s">
        <v>333</v>
      </c>
      <c r="D104" s="87"/>
      <c r="E104" s="92">
        <v>2.5000000000000001E-2</v>
      </c>
      <c r="F104" s="92">
        <v>2.5000000000000001E-2</v>
      </c>
      <c r="G104" s="92">
        <v>2.5000000000000001E-2</v>
      </c>
      <c r="H104" s="282">
        <f>CHOOSE($L$2,E104,F104,G104)</f>
        <v>2.5000000000000001E-2</v>
      </c>
    </row>
    <row r="105" spans="2:12" x14ac:dyDescent="0.35">
      <c r="B105" t="s">
        <v>334</v>
      </c>
      <c r="D105" s="95"/>
      <c r="E105" s="44">
        <f>WACC!$I$28</f>
        <v>9.053558405181325E-2</v>
      </c>
      <c r="F105" s="44">
        <f>WACC!$I$28</f>
        <v>9.053558405181325E-2</v>
      </c>
      <c r="G105" s="44">
        <f>WACC!$I$28</f>
        <v>9.053558405181325E-2</v>
      </c>
      <c r="H105" s="282">
        <f>CHOOSE($L$2,E105,F105,G105)</f>
        <v>9.053558405181325E-2</v>
      </c>
    </row>
    <row r="106" spans="2:12" x14ac:dyDescent="0.35">
      <c r="B106" t="s">
        <v>335</v>
      </c>
      <c r="D106" s="87"/>
      <c r="E106" s="92">
        <v>0.12</v>
      </c>
      <c r="F106" s="92">
        <v>0.15</v>
      </c>
      <c r="G106" s="92">
        <v>0.18</v>
      </c>
      <c r="H106" s="19">
        <f>CHOOSE($L$2,E106,F106,G106)</f>
        <v>0.15</v>
      </c>
    </row>
    <row r="107" spans="2:12" x14ac:dyDescent="0.35">
      <c r="B107" s="31" t="s">
        <v>336</v>
      </c>
      <c r="D107" s="95"/>
      <c r="E107" s="276">
        <f>E$2</f>
        <v>2027</v>
      </c>
      <c r="F107" s="276">
        <f>F$2</f>
        <v>2028</v>
      </c>
      <c r="G107" s="276">
        <f>G$2</f>
        <v>2029</v>
      </c>
      <c r="H107" s="276">
        <f>H$2</f>
        <v>2030</v>
      </c>
      <c r="I107" s="276">
        <f>I$2</f>
        <v>2031</v>
      </c>
    </row>
    <row r="108" spans="2:12" x14ac:dyDescent="0.35">
      <c r="B108" s="30" t="s">
        <v>337</v>
      </c>
      <c r="D108" s="87"/>
      <c r="E108" s="91">
        <v>22000</v>
      </c>
      <c r="F108" s="91">
        <v>24000</v>
      </c>
      <c r="G108" s="91">
        <v>26000</v>
      </c>
      <c r="H108" s="91">
        <v>28000</v>
      </c>
      <c r="I108" s="91">
        <v>30000</v>
      </c>
    </row>
    <row r="110" spans="2:12" x14ac:dyDescent="0.35">
      <c r="B110" t="s">
        <v>338</v>
      </c>
      <c r="D110" s="87"/>
      <c r="E110" s="91">
        <v>0</v>
      </c>
      <c r="F110" s="91">
        <v>1</v>
      </c>
      <c r="G110" s="91">
        <v>1</v>
      </c>
      <c r="H110" s="7">
        <f>CHOOSE($L$2,E110,F110,G110)</f>
        <v>1</v>
      </c>
    </row>
    <row r="111" spans="2:12" x14ac:dyDescent="0.35">
      <c r="B111" t="s">
        <v>1110</v>
      </c>
    </row>
    <row r="112" spans="2:12" x14ac:dyDescent="0.35">
      <c r="B112" t="s">
        <v>588</v>
      </c>
      <c r="D112" s="87"/>
      <c r="E112" s="91">
        <v>15000</v>
      </c>
      <c r="F112" s="91">
        <v>15000</v>
      </c>
      <c r="G112" s="91">
        <v>15000</v>
      </c>
      <c r="H112" s="91">
        <v>15000</v>
      </c>
      <c r="I112" s="91">
        <v>15000</v>
      </c>
    </row>
    <row r="114" spans="2:13" x14ac:dyDescent="0.35">
      <c r="B114" t="s">
        <v>524</v>
      </c>
      <c r="D114" s="87"/>
      <c r="E114" s="92">
        <v>0</v>
      </c>
      <c r="F114" s="92">
        <v>0</v>
      </c>
      <c r="G114" s="92">
        <v>0</v>
      </c>
      <c r="H114" s="92">
        <v>0</v>
      </c>
      <c r="I114" s="92">
        <v>0</v>
      </c>
    </row>
    <row r="115" spans="2:13" x14ac:dyDescent="0.35">
      <c r="B115" s="176" t="s">
        <v>525</v>
      </c>
      <c r="C115" s="176"/>
      <c r="D115" s="176"/>
      <c r="E115" s="176"/>
      <c r="F115" s="176"/>
      <c r="G115" s="176"/>
      <c r="H115" s="176"/>
      <c r="I115" s="176"/>
    </row>
    <row r="116" spans="2:13" x14ac:dyDescent="0.35">
      <c r="B116" t="s">
        <v>526</v>
      </c>
      <c r="G116" s="95"/>
      <c r="H116" s="44">
        <f>'3 statement Model'!$I$25/'3 statement Model'!$I$9</f>
        <v>0.46780818408927222</v>
      </c>
    </row>
    <row r="117" spans="2:13" x14ac:dyDescent="0.35">
      <c r="B117" t="s">
        <v>527</v>
      </c>
      <c r="G117" s="87"/>
      <c r="H117" s="91">
        <v>5</v>
      </c>
    </row>
    <row r="118" spans="2:13" x14ac:dyDescent="0.35">
      <c r="B118" t="s">
        <v>528</v>
      </c>
      <c r="G118" s="95"/>
      <c r="H118" s="41">
        <f>('3 statement Model'!$I$9-'3 statement Model'!$I$25-'3 statement Model'!$I$23)/12</f>
        <v>11505.666666666666</v>
      </c>
    </row>
    <row r="119" spans="2:13" x14ac:dyDescent="0.35">
      <c r="B119" t="s">
        <v>529</v>
      </c>
      <c r="G119" s="87"/>
      <c r="H119" s="92">
        <v>0.75</v>
      </c>
    </row>
    <row r="120" spans="2:13" x14ac:dyDescent="0.35">
      <c r="B120" t="s">
        <v>530</v>
      </c>
      <c r="G120" s="87"/>
      <c r="H120" s="91">
        <v>1</v>
      </c>
    </row>
    <row r="121" spans="2:13" x14ac:dyDescent="0.35">
      <c r="B121" t="s">
        <v>589</v>
      </c>
      <c r="D121" s="87"/>
      <c r="E121" s="91">
        <v>15000</v>
      </c>
      <c r="F121" s="91">
        <v>15000</v>
      </c>
      <c r="G121" s="91">
        <v>15000</v>
      </c>
      <c r="H121" s="91">
        <v>15000</v>
      </c>
      <c r="I121" s="91">
        <v>15000</v>
      </c>
    </row>
    <row r="123" spans="2:13" x14ac:dyDescent="0.35">
      <c r="B123" s="177" t="s">
        <v>590</v>
      </c>
      <c r="C123" s="177"/>
      <c r="D123" s="177"/>
      <c r="E123" s="177"/>
      <c r="F123" s="177"/>
      <c r="G123" s="177"/>
      <c r="H123" s="177"/>
      <c r="I123" s="177"/>
    </row>
    <row r="124" spans="2:13" x14ac:dyDescent="0.35">
      <c r="B124" t="s">
        <v>591</v>
      </c>
      <c r="D124" s="87"/>
      <c r="E124" s="91">
        <v>2932</v>
      </c>
      <c r="F124" s="91">
        <v>2038</v>
      </c>
      <c r="G124" s="91">
        <v>1853</v>
      </c>
      <c r="H124" s="91">
        <v>1385</v>
      </c>
      <c r="I124" s="91">
        <v>1385</v>
      </c>
    </row>
    <row r="125" spans="2:13" x14ac:dyDescent="0.35">
      <c r="B125" s="375" t="s">
        <v>592</v>
      </c>
      <c r="C125" s="375"/>
      <c r="D125" s="375"/>
      <c r="E125" s="375"/>
      <c r="F125" s="375"/>
      <c r="G125" s="375"/>
      <c r="H125" s="375"/>
      <c r="I125" s="375"/>
      <c r="J125" s="375"/>
      <c r="K125" s="375"/>
      <c r="L125" s="375"/>
      <c r="M125" s="375"/>
    </row>
    <row r="127" spans="2:13" x14ac:dyDescent="0.35">
      <c r="B127" s="179" t="s">
        <v>1111</v>
      </c>
      <c r="C127" s="179"/>
      <c r="D127" s="179"/>
      <c r="E127" s="179"/>
      <c r="F127" s="179"/>
      <c r="G127" s="179"/>
      <c r="H127" s="179"/>
      <c r="I127" s="179"/>
      <c r="J127" s="179"/>
      <c r="K127" s="179"/>
      <c r="L127" s="179"/>
      <c r="M127" s="179"/>
    </row>
    <row r="128" spans="2:13" x14ac:dyDescent="0.35">
      <c r="B128" s="375" t="s">
        <v>593</v>
      </c>
      <c r="C128" s="375"/>
      <c r="D128" s="375"/>
      <c r="E128" s="375"/>
      <c r="F128" s="375"/>
      <c r="G128" s="375"/>
      <c r="H128" s="375"/>
      <c r="I128" s="375"/>
      <c r="J128" s="375"/>
      <c r="K128" s="375"/>
      <c r="L128" s="375"/>
      <c r="M128" s="375"/>
    </row>
    <row r="129" spans="2:13" x14ac:dyDescent="0.35">
      <c r="B129" s="375" t="s">
        <v>594</v>
      </c>
      <c r="C129" s="375"/>
      <c r="D129" s="375"/>
      <c r="E129" s="375"/>
      <c r="F129" s="375"/>
      <c r="G129" s="375"/>
      <c r="H129" s="375"/>
      <c r="I129" s="375"/>
      <c r="J129" s="375"/>
      <c r="K129" s="375"/>
      <c r="L129" s="375"/>
      <c r="M129" s="375"/>
    </row>
    <row r="130" spans="2:13" x14ac:dyDescent="0.35">
      <c r="B130" s="375" t="s">
        <v>595</v>
      </c>
      <c r="C130" s="375"/>
      <c r="D130" s="375"/>
      <c r="E130" s="375"/>
      <c r="F130" s="375"/>
      <c r="G130" s="375"/>
      <c r="H130" s="375"/>
      <c r="I130" s="375"/>
      <c r="J130" s="375"/>
      <c r="K130" s="375"/>
      <c r="L130" s="375"/>
      <c r="M130" s="375"/>
    </row>
    <row r="131" spans="2:13" x14ac:dyDescent="0.35">
      <c r="B131" s="375" t="s">
        <v>596</v>
      </c>
      <c r="C131" s="375"/>
      <c r="D131" s="375"/>
      <c r="E131" s="375"/>
      <c r="F131" s="375"/>
      <c r="G131" s="375"/>
      <c r="H131" s="375"/>
      <c r="I131" s="375"/>
      <c r="J131" s="375"/>
      <c r="K131" s="375"/>
      <c r="L131" s="375"/>
      <c r="M131" s="375"/>
    </row>
  </sheetData>
  <mergeCells count="5">
    <mergeCell ref="B125:M125"/>
    <mergeCell ref="B128:M128"/>
    <mergeCell ref="B129:M129"/>
    <mergeCell ref="B130:M130"/>
    <mergeCell ref="B131:M131"/>
  </mergeCells>
  <dataValidations count="1">
    <dataValidation type="list" allowBlank="1" showInputMessage="1" showErrorMessage="1" sqref="L2" xr:uid="{794FB3A9-147D-45E2-857D-09C37999A579}">
      <formula1>"1,2,3"</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8904F-DF63-4BCB-B020-F76BEBB663AD}">
  <dimension ref="A1:N305"/>
  <sheetViews>
    <sheetView showGridLines="0" zoomScale="68" zoomScaleNormal="68" workbookViewId="0">
      <pane xSplit="2" ySplit="5" topLeftCell="C79" activePane="bottomRight" state="frozen"/>
      <selection pane="topRight" activeCell="C1" sqref="C1"/>
      <selection pane="bottomLeft" activeCell="A6" sqref="A6"/>
      <selection pane="bottomRight" activeCell="J7" sqref="J7"/>
    </sheetView>
  </sheetViews>
  <sheetFormatPr defaultRowHeight="14.5" x14ac:dyDescent="0.35"/>
  <cols>
    <col min="1" max="1" width="0.36328125" customWidth="1"/>
    <col min="2" max="2" width="34" bestFit="1" customWidth="1"/>
    <col min="3" max="4" width="0.36328125" customWidth="1"/>
  </cols>
  <sheetData>
    <row r="1" spans="1:14" x14ac:dyDescent="0.35">
      <c r="B1" s="29"/>
      <c r="N1" s="305" t="str">
        <f>HYPERLINK("#'Cover'!A1","Cover")</f>
        <v>Cover</v>
      </c>
    </row>
    <row r="2" spans="1:14" x14ac:dyDescent="0.35">
      <c r="B2" s="56"/>
      <c r="E2" s="57" t="s">
        <v>3</v>
      </c>
      <c r="F2" s="58"/>
      <c r="G2" s="58"/>
      <c r="H2" s="58"/>
      <c r="I2" s="57" t="s">
        <v>1113</v>
      </c>
      <c r="J2" s="59"/>
      <c r="K2" s="59"/>
      <c r="L2" s="59"/>
      <c r="M2" s="59"/>
      <c r="N2" s="59"/>
    </row>
    <row r="3" spans="1:14" x14ac:dyDescent="0.35">
      <c r="B3" s="60"/>
      <c r="D3" s="187"/>
      <c r="E3" s="62" t="str">
        <f>(2021+COLUMN()-COLUMN($D$7))&amp;IF(COLUMN()-COLUMN($D$7)&lt;5,"A","E")</f>
        <v>2022A</v>
      </c>
      <c r="F3" s="62" t="str">
        <f>(2021+COLUMN()-COLUMN($D$7))&amp;IF(COLUMN()-COLUMN($D$7)&lt;5,"A","E")</f>
        <v>2023A</v>
      </c>
      <c r="G3" s="62" t="str">
        <f>(2021+COLUMN()-COLUMN($D$7))&amp;IF(COLUMN()-COLUMN($D$7)&lt;5,"A","E")</f>
        <v>2024A</v>
      </c>
      <c r="H3" s="62" t="str">
        <f>(2021+COLUMN()-COLUMN($D$7))&amp;IF(COLUMN()-COLUMN($D$7)&lt;5,"A","E")</f>
        <v>2025A</v>
      </c>
      <c r="I3" s="62" t="s">
        <v>5</v>
      </c>
      <c r="J3" s="63" t="str">
        <f>(2021+COLUMN()-COLUMN($D$7))&amp;IF(COLUMN()-COLUMN($D$7)&lt;5,"A","E")</f>
        <v>2027E</v>
      </c>
      <c r="K3" s="63" t="str">
        <f>(2021+COLUMN()-COLUMN($D$7))&amp;IF(COLUMN()-COLUMN($D$7)&lt;5,"A","E")</f>
        <v>2028E</v>
      </c>
      <c r="L3" s="63" t="str">
        <f>(2021+COLUMN()-COLUMN($D$7))&amp;IF(COLUMN()-COLUMN($D$7)&lt;5,"A","E")</f>
        <v>2029E</v>
      </c>
      <c r="M3" s="63" t="str">
        <f>(2021+COLUMN()-COLUMN($D$7))&amp;IF(COLUMN()-COLUMN($D$7)&lt;5,"A","E")</f>
        <v>2030E</v>
      </c>
      <c r="N3" s="63" t="str">
        <f>(2021+COLUMN()-COLUMN($D$7))&amp;IF(COLUMN()-COLUMN($D$7)&lt;5,"A","E")</f>
        <v>2031E</v>
      </c>
    </row>
    <row r="4" spans="1:14" x14ac:dyDescent="0.35">
      <c r="B4" s="56" t="s">
        <v>2</v>
      </c>
      <c r="D4" s="187"/>
      <c r="E4" s="56"/>
      <c r="F4" s="56"/>
      <c r="G4" s="56"/>
      <c r="H4" s="56"/>
      <c r="I4" s="56"/>
      <c r="J4" s="56"/>
      <c r="K4" s="56"/>
      <c r="L4" s="56"/>
      <c r="M4" s="56"/>
      <c r="N4" s="56"/>
    </row>
    <row r="5" spans="1:14" x14ac:dyDescent="0.35">
      <c r="A5" s="1"/>
      <c r="B5" s="60" t="s">
        <v>4</v>
      </c>
      <c r="D5" s="187"/>
      <c r="E5" s="56"/>
      <c r="F5" s="56"/>
      <c r="G5" s="56"/>
      <c r="H5" s="56"/>
      <c r="I5" s="56"/>
      <c r="J5" s="56"/>
      <c r="K5" s="56"/>
      <c r="L5" s="56"/>
      <c r="M5" s="56"/>
      <c r="N5" s="56"/>
    </row>
    <row r="6" spans="1:14" x14ac:dyDescent="0.35">
      <c r="B6" s="54" t="s">
        <v>6</v>
      </c>
    </row>
    <row r="7" spans="1:14" x14ac:dyDescent="0.35">
      <c r="B7" s="1" t="s">
        <v>7</v>
      </c>
      <c r="D7" s="87"/>
      <c r="E7" s="88">
        <v>72732</v>
      </c>
      <c r="F7" s="88">
        <v>64699</v>
      </c>
      <c r="G7" s="88">
        <v>64773</v>
      </c>
      <c r="H7" s="88">
        <v>63946</v>
      </c>
      <c r="I7" s="204">
        <v>64696</v>
      </c>
      <c r="J7" s="7">
        <f t="shared" ref="J7:N8" si="0">J145</f>
        <v>65989.919999999998</v>
      </c>
      <c r="K7" s="7">
        <f t="shared" si="0"/>
        <v>67309.718399999998</v>
      </c>
      <c r="L7" s="7">
        <f t="shared" si="0"/>
        <v>68655.912767999995</v>
      </c>
      <c r="M7" s="7">
        <f t="shared" si="0"/>
        <v>70029.031023360003</v>
      </c>
      <c r="N7" s="7">
        <f t="shared" si="0"/>
        <v>71429.6116438272</v>
      </c>
    </row>
    <row r="8" spans="1:14" x14ac:dyDescent="0.35">
      <c r="B8" s="1" t="s">
        <v>8</v>
      </c>
      <c r="D8" s="87"/>
      <c r="E8" s="88">
        <v>125538</v>
      </c>
      <c r="F8" s="88">
        <v>147216</v>
      </c>
      <c r="G8" s="88">
        <v>180349</v>
      </c>
      <c r="H8" s="88">
        <v>217778</v>
      </c>
      <c r="I8" s="204">
        <v>267143</v>
      </c>
      <c r="J8" s="7">
        <f t="shared" si="0"/>
        <v>324039.12000000005</v>
      </c>
      <c r="K8" s="7">
        <f t="shared" si="0"/>
        <v>392975.83160000003</v>
      </c>
      <c r="L8" s="7">
        <f t="shared" si="0"/>
        <v>467858.90484000015</v>
      </c>
      <c r="M8" s="7">
        <f t="shared" si="0"/>
        <v>548189.76999288017</v>
      </c>
      <c r="N8" s="7">
        <f t="shared" si="0"/>
        <v>630597.60923394014</v>
      </c>
    </row>
    <row r="9" spans="1:14" ht="15" thickBot="1" x14ac:dyDescent="0.4">
      <c r="B9" s="65" t="s">
        <v>9</v>
      </c>
      <c r="D9" s="95"/>
      <c r="E9" s="96">
        <f t="shared" ref="E9:N9" si="1">SUM(E7:E8)</f>
        <v>198270</v>
      </c>
      <c r="F9" s="96">
        <f t="shared" si="1"/>
        <v>211915</v>
      </c>
      <c r="G9" s="96">
        <f t="shared" si="1"/>
        <v>245122</v>
      </c>
      <c r="H9" s="96">
        <f t="shared" si="1"/>
        <v>281724</v>
      </c>
      <c r="I9" s="96">
        <f t="shared" si="1"/>
        <v>331839</v>
      </c>
      <c r="J9" s="98">
        <f t="shared" si="1"/>
        <v>390029.04000000004</v>
      </c>
      <c r="K9" s="98">
        <f t="shared" si="1"/>
        <v>460285.55000000005</v>
      </c>
      <c r="L9" s="98">
        <f t="shared" si="1"/>
        <v>536514.81760800013</v>
      </c>
      <c r="M9" s="98">
        <f t="shared" si="1"/>
        <v>618218.80101624015</v>
      </c>
      <c r="N9" s="98">
        <f t="shared" si="1"/>
        <v>702027.22087776731</v>
      </c>
    </row>
    <row r="10" spans="1:14" x14ac:dyDescent="0.35">
      <c r="B10" s="65"/>
      <c r="E10" s="28"/>
      <c r="F10" s="28"/>
      <c r="G10" s="28"/>
      <c r="H10" s="28"/>
      <c r="I10" s="28"/>
      <c r="J10" s="18"/>
      <c r="K10" s="18"/>
      <c r="L10" s="18"/>
      <c r="M10" s="18"/>
      <c r="N10" s="18"/>
    </row>
    <row r="11" spans="1:14" x14ac:dyDescent="0.35">
      <c r="B11" s="54" t="s">
        <v>10</v>
      </c>
      <c r="E11" s="2"/>
      <c r="F11" s="2"/>
      <c r="G11" s="2"/>
      <c r="H11" s="2"/>
      <c r="I11" s="2"/>
    </row>
    <row r="12" spans="1:14" x14ac:dyDescent="0.35">
      <c r="B12" s="1" t="s">
        <v>7</v>
      </c>
      <c r="D12" s="87"/>
      <c r="E12" s="88">
        <v>19064</v>
      </c>
      <c r="F12" s="88">
        <v>17804</v>
      </c>
      <c r="G12" s="88">
        <v>15272</v>
      </c>
      <c r="H12" s="88">
        <v>13501</v>
      </c>
      <c r="I12" s="204">
        <v>12098</v>
      </c>
      <c r="J12" s="7">
        <f t="shared" ref="J12:N13" si="2">J155</f>
        <v>12339.96</v>
      </c>
      <c r="K12" s="7">
        <f t="shared" si="2"/>
        <v>12586.759199999999</v>
      </c>
      <c r="L12" s="7">
        <f t="shared" si="2"/>
        <v>12838.494383999998</v>
      </c>
      <c r="M12" s="7">
        <f t="shared" si="2"/>
        <v>13095.26427168</v>
      </c>
      <c r="N12" s="7">
        <f t="shared" si="2"/>
        <v>13357.169557113599</v>
      </c>
    </row>
    <row r="13" spans="1:14" x14ac:dyDescent="0.35">
      <c r="B13" s="1" t="s">
        <v>8</v>
      </c>
      <c r="D13" s="87"/>
      <c r="E13" s="88">
        <v>43586</v>
      </c>
      <c r="F13" s="88">
        <v>48059</v>
      </c>
      <c r="G13" s="88">
        <v>58842</v>
      </c>
      <c r="H13" s="88">
        <v>74330</v>
      </c>
      <c r="I13" s="204">
        <v>94276</v>
      </c>
      <c r="J13" s="7">
        <f t="shared" si="2"/>
        <v>121830.02976</v>
      </c>
      <c r="K13" s="7">
        <f t="shared" si="2"/>
        <v>145751.47</v>
      </c>
      <c r="L13" s="7">
        <f t="shared" si="2"/>
        <v>170649.57323793604</v>
      </c>
      <c r="M13" s="7">
        <f t="shared" si="2"/>
        <v>197099.12807384162</v>
      </c>
      <c r="N13" s="7">
        <f t="shared" si="2"/>
        <v>223928.03109957173</v>
      </c>
    </row>
    <row r="14" spans="1:14" ht="15" thickBot="1" x14ac:dyDescent="0.4">
      <c r="B14" s="188" t="s">
        <v>11</v>
      </c>
      <c r="C14" s="189"/>
      <c r="D14" s="207"/>
      <c r="E14" s="96">
        <f t="shared" ref="E14:N14" si="3">SUM(E12:E13)</f>
        <v>62650</v>
      </c>
      <c r="F14" s="96">
        <f t="shared" si="3"/>
        <v>65863</v>
      </c>
      <c r="G14" s="96">
        <f t="shared" si="3"/>
        <v>74114</v>
      </c>
      <c r="H14" s="96">
        <f t="shared" si="3"/>
        <v>87831</v>
      </c>
      <c r="I14" s="96">
        <f t="shared" si="3"/>
        <v>106374</v>
      </c>
      <c r="J14" s="98">
        <f t="shared" si="3"/>
        <v>134169.98976</v>
      </c>
      <c r="K14" s="98">
        <f t="shared" si="3"/>
        <v>158338.2292</v>
      </c>
      <c r="L14" s="98">
        <f t="shared" si="3"/>
        <v>183488.06762193603</v>
      </c>
      <c r="M14" s="98">
        <f t="shared" si="3"/>
        <v>210194.39234552163</v>
      </c>
      <c r="N14" s="98">
        <f t="shared" si="3"/>
        <v>237285.20065668534</v>
      </c>
    </row>
    <row r="15" spans="1:14" x14ac:dyDescent="0.35">
      <c r="B15" s="65"/>
      <c r="E15" s="21"/>
      <c r="F15" s="21"/>
      <c r="G15" s="21"/>
      <c r="H15" s="21"/>
      <c r="I15" s="21"/>
    </row>
    <row r="16" spans="1:14" ht="15" thickBot="1" x14ac:dyDescent="0.4">
      <c r="B16" s="190" t="s">
        <v>339</v>
      </c>
      <c r="C16" s="189"/>
      <c r="D16" s="207"/>
      <c r="E16" s="96">
        <f t="shared" ref="E16:N16" si="4">E9-E14</f>
        <v>135620</v>
      </c>
      <c r="F16" s="96">
        <f t="shared" si="4"/>
        <v>146052</v>
      </c>
      <c r="G16" s="96">
        <f t="shared" si="4"/>
        <v>171008</v>
      </c>
      <c r="H16" s="96">
        <f t="shared" si="4"/>
        <v>193893</v>
      </c>
      <c r="I16" s="96">
        <f t="shared" si="4"/>
        <v>225465</v>
      </c>
      <c r="J16" s="96">
        <f t="shared" si="4"/>
        <v>255859.05024000004</v>
      </c>
      <c r="K16" s="96">
        <f t="shared" si="4"/>
        <v>301947.32080000004</v>
      </c>
      <c r="L16" s="96">
        <f t="shared" si="4"/>
        <v>353026.7499860641</v>
      </c>
      <c r="M16" s="96">
        <f t="shared" si="4"/>
        <v>408024.40867071855</v>
      </c>
      <c r="N16" s="96">
        <f t="shared" si="4"/>
        <v>464742.02022108197</v>
      </c>
    </row>
    <row r="17" spans="2:14" x14ac:dyDescent="0.35">
      <c r="B17" s="54"/>
      <c r="E17" s="21"/>
      <c r="F17" s="21"/>
      <c r="G17" s="21"/>
      <c r="H17" s="21"/>
      <c r="I17" s="21"/>
    </row>
    <row r="18" spans="2:14" x14ac:dyDescent="0.35">
      <c r="B18" s="1" t="s">
        <v>13</v>
      </c>
      <c r="D18" s="87"/>
      <c r="E18" s="88">
        <v>24512</v>
      </c>
      <c r="F18" s="88">
        <v>27195</v>
      </c>
      <c r="G18" s="88">
        <v>29510</v>
      </c>
      <c r="H18" s="88">
        <v>32488</v>
      </c>
      <c r="I18" s="204">
        <v>35562</v>
      </c>
      <c r="J18" s="326">
        <f>J9*Assumptions!E47</f>
        <v>38612.874960000008</v>
      </c>
      <c r="K18" s="326">
        <f>K9*Assumptions!F47</f>
        <v>45107.983900000007</v>
      </c>
      <c r="L18" s="326">
        <f>L9*Assumptions!G47</f>
        <v>52041.937307976012</v>
      </c>
      <c r="M18" s="326">
        <f>M9*Assumptions!H47</f>
        <v>59349.004897559054</v>
      </c>
      <c r="N18" s="326">
        <f>N9*Assumptions!I47</f>
        <v>65990.558762510133</v>
      </c>
    </row>
    <row r="19" spans="2:14" x14ac:dyDescent="0.35">
      <c r="B19" s="1" t="s">
        <v>14</v>
      </c>
      <c r="D19" s="87"/>
      <c r="E19" s="88">
        <v>21825</v>
      </c>
      <c r="F19" s="88">
        <v>22759</v>
      </c>
      <c r="G19" s="88">
        <v>24456</v>
      </c>
      <c r="H19" s="88">
        <v>25654</v>
      </c>
      <c r="I19" s="204">
        <v>26710</v>
      </c>
      <c r="J19" s="326">
        <f>J9*Assumptions!E52</f>
        <v>28082.09088</v>
      </c>
      <c r="K19" s="326">
        <f>K9*Assumptions!F52</f>
        <v>32680.27405</v>
      </c>
      <c r="L19" s="326">
        <f>L9*Assumptions!G52</f>
        <v>37556.037232560011</v>
      </c>
      <c r="M19" s="326">
        <f>M9*Assumptions!H52</f>
        <v>42657.097270120576</v>
      </c>
      <c r="N19" s="326">
        <f>N9*Assumptions!I52</f>
        <v>47035.823798810416</v>
      </c>
    </row>
    <row r="20" spans="2:14" x14ac:dyDescent="0.35">
      <c r="B20" s="1" t="s">
        <v>15</v>
      </c>
      <c r="D20" s="87"/>
      <c r="E20" s="88">
        <v>5900</v>
      </c>
      <c r="F20" s="88">
        <v>7575</v>
      </c>
      <c r="G20" s="88">
        <v>7609</v>
      </c>
      <c r="H20" s="88">
        <v>7223</v>
      </c>
      <c r="I20" s="204">
        <v>7956</v>
      </c>
      <c r="J20" s="326">
        <f>J9*Assumptions!E57</f>
        <v>8190.609840000001</v>
      </c>
      <c r="K20" s="326">
        <f>K9*Assumptions!F57</f>
        <v>9665.9965500000017</v>
      </c>
      <c r="L20" s="326">
        <f>L9*Assumptions!G57</f>
        <v>10730.296352160003</v>
      </c>
      <c r="M20" s="326">
        <f>M9*Assumptions!H57</f>
        <v>12364.376020324804</v>
      </c>
      <c r="N20" s="326">
        <f>N9*Assumptions!I57</f>
        <v>14040.544417555346</v>
      </c>
    </row>
    <row r="21" spans="2:14" ht="15" thickBot="1" x14ac:dyDescent="0.4">
      <c r="B21" s="191" t="s">
        <v>16</v>
      </c>
      <c r="C21" s="189"/>
      <c r="D21" s="207"/>
      <c r="E21" s="96">
        <f t="shared" ref="E21:N21" si="5">E25+E23</f>
        <v>97843</v>
      </c>
      <c r="F21" s="96">
        <f t="shared" si="5"/>
        <v>102384</v>
      </c>
      <c r="G21" s="96">
        <f t="shared" si="5"/>
        <v>130391</v>
      </c>
      <c r="H21" s="96">
        <f t="shared" si="5"/>
        <v>157961</v>
      </c>
      <c r="I21" s="96">
        <f t="shared" si="5"/>
        <v>193771</v>
      </c>
      <c r="J21" s="96">
        <f t="shared" si="5"/>
        <v>234680.35456000007</v>
      </c>
      <c r="K21" s="96">
        <f t="shared" si="5"/>
        <v>281830.21190000005</v>
      </c>
      <c r="L21" s="96">
        <f t="shared" si="5"/>
        <v>334436.7357653681</v>
      </c>
      <c r="M21" s="96">
        <f t="shared" si="5"/>
        <v>389564.10378735414</v>
      </c>
      <c r="N21" s="96">
        <f t="shared" si="5"/>
        <v>448271.99401724292</v>
      </c>
    </row>
    <row r="22" spans="2:14" ht="43.5" x14ac:dyDescent="0.35">
      <c r="B22" s="293" t="s">
        <v>621</v>
      </c>
      <c r="E22" s="21"/>
      <c r="F22" s="21"/>
      <c r="G22" s="21"/>
      <c r="H22" s="21"/>
      <c r="I22" s="101"/>
      <c r="J22" s="41">
        <f>SUM(J18:J20)-J281-Assumptions!E124</f>
        <v>62944.378292244903</v>
      </c>
      <c r="K22" s="41">
        <f>SUM(K18:K20)-K281-Assumptions!F124</f>
        <v>74393.581667260296</v>
      </c>
      <c r="L22" s="41">
        <f>SUM(L18:L20)-L281-Assumptions!G124</f>
        <v>85930.129870094897</v>
      </c>
      <c r="M22" s="41">
        <f>SUM(M18:M20)-M281-Assumptions!H124</f>
        <v>99285.800629136516</v>
      </c>
      <c r="N22" s="41">
        <f>SUM(N18:N20)-N281-Assumptions!I124</f>
        <v>111103.40814293371</v>
      </c>
    </row>
    <row r="23" spans="2:14" ht="43.5" x14ac:dyDescent="0.35">
      <c r="B23" s="292" t="s">
        <v>597</v>
      </c>
      <c r="D23" s="95"/>
      <c r="E23" s="101">
        <f>E56</f>
        <v>14460</v>
      </c>
      <c r="F23" s="101">
        <f>F56</f>
        <v>13861</v>
      </c>
      <c r="G23" s="101">
        <f>G56</f>
        <v>20958</v>
      </c>
      <c r="H23" s="101">
        <f>H56</f>
        <v>29433</v>
      </c>
      <c r="I23" s="94">
        <f>I56</f>
        <v>38534</v>
      </c>
      <c r="J23" s="41">
        <f>J179+Assumptions!E124</f>
        <v>53706.880000000005</v>
      </c>
      <c r="K23" s="41">
        <f>K179+Assumptions!F124</f>
        <v>67337.145600000003</v>
      </c>
      <c r="L23" s="41">
        <f>L179+Assumptions!G124</f>
        <v>81738.256672000003</v>
      </c>
      <c r="M23" s="41">
        <f>M179+Assumptions!H124</f>
        <v>95910.173304640004</v>
      </c>
      <c r="N23" s="41">
        <f>N179+Assumptions!I124</f>
        <v>110596.9007750368</v>
      </c>
    </row>
    <row r="24" spans="2:14" ht="29" x14ac:dyDescent="0.35">
      <c r="B24" s="292" t="s">
        <v>622</v>
      </c>
      <c r="E24" s="2"/>
      <c r="F24" s="2"/>
      <c r="G24" s="2"/>
      <c r="H24" s="2"/>
      <c r="I24" s="94"/>
      <c r="J24" s="41">
        <f>J281+Assumptions!E124</f>
        <v>11941.197387755101</v>
      </c>
      <c r="K24" s="41">
        <f>K281+Assumptions!F124</f>
        <v>13060.672832739692</v>
      </c>
      <c r="L24" s="41">
        <f>L281+Assumptions!G124</f>
        <v>14398.141022601139</v>
      </c>
      <c r="M24" s="41">
        <f>M281+Assumptions!H124</f>
        <v>15084.677558867928</v>
      </c>
      <c r="N24" s="41">
        <f>N281+Assumptions!I124</f>
        <v>15963.518835942181</v>
      </c>
    </row>
    <row r="25" spans="2:14" ht="15" thickBot="1" x14ac:dyDescent="0.4">
      <c r="B25" s="190" t="s">
        <v>18</v>
      </c>
      <c r="C25" s="189"/>
      <c r="D25" s="207"/>
      <c r="E25" s="96">
        <f t="shared" ref="E25:I25" si="6">E16-SUM(E18:E20)</f>
        <v>83383</v>
      </c>
      <c r="F25" s="96">
        <f t="shared" si="6"/>
        <v>88523</v>
      </c>
      <c r="G25" s="96">
        <f t="shared" si="6"/>
        <v>109433</v>
      </c>
      <c r="H25" s="96">
        <f t="shared" si="6"/>
        <v>128528</v>
      </c>
      <c r="I25" s="96">
        <f t="shared" si="6"/>
        <v>155237</v>
      </c>
      <c r="J25" s="96">
        <f>J16-J22-J24</f>
        <v>180973.47456000006</v>
      </c>
      <c r="K25" s="96">
        <f>K16-K22-K24</f>
        <v>214493.06630000006</v>
      </c>
      <c r="L25" s="96">
        <f>L16-L22-L24</f>
        <v>252698.47909336808</v>
      </c>
      <c r="M25" s="96">
        <f>M16-M22-M24</f>
        <v>293653.93048271415</v>
      </c>
      <c r="N25" s="96">
        <f>N16-N22-N24</f>
        <v>337675.09324220609</v>
      </c>
    </row>
    <row r="26" spans="2:14" x14ac:dyDescent="0.35">
      <c r="B26" s="1" t="s">
        <v>19</v>
      </c>
      <c r="D26" s="87"/>
      <c r="E26" s="88">
        <v>2094</v>
      </c>
      <c r="F26" s="88">
        <v>2994</v>
      </c>
      <c r="G26" s="88">
        <v>3157</v>
      </c>
      <c r="H26" s="88">
        <v>2647</v>
      </c>
      <c r="I26" s="94">
        <f>IF(OR(H26="",G91="",H91="",I91=""),"",H26/AVERAGE(G91,H91)*AVERAGE(H91,I91))</f>
        <v>2789.8247214613752</v>
      </c>
      <c r="J26" s="41">
        <f>I93*Assumptions!$H$99</f>
        <v>2689.5050000000001</v>
      </c>
      <c r="K26" s="41">
        <f>J93*Assumptions!$H$99</f>
        <v>3517.2654468419792</v>
      </c>
      <c r="L26" s="41">
        <f>K93*Assumptions!$H$99</f>
        <v>5080.5689491949151</v>
      </c>
      <c r="M26" s="41">
        <f>L93*Assumptions!$H$99</f>
        <v>7610.0666885566216</v>
      </c>
      <c r="N26" s="41">
        <f>M93*Assumptions!$H$99</f>
        <v>10997.845921931057</v>
      </c>
    </row>
    <row r="27" spans="2:14" x14ac:dyDescent="0.35">
      <c r="B27" s="1" t="s">
        <v>20</v>
      </c>
      <c r="D27" s="87"/>
      <c r="E27" s="88">
        <v>-2063</v>
      </c>
      <c r="F27" s="88">
        <v>-1968</v>
      </c>
      <c r="G27" s="88">
        <v>-2935</v>
      </c>
      <c r="H27" s="88">
        <v>-2385</v>
      </c>
      <c r="I27" s="88">
        <v>-3051</v>
      </c>
      <c r="J27" s="7">
        <f>-(J233+J294)</f>
        <v>-5169.0662499999999</v>
      </c>
      <c r="K27" s="7">
        <f t="shared" ref="K27:N27" si="7">-(K233+K294)</f>
        <v>-5446.6190624999999</v>
      </c>
      <c r="L27" s="7">
        <f t="shared" si="7"/>
        <v>-5712.7091406250001</v>
      </c>
      <c r="M27" s="7">
        <f t="shared" si="7"/>
        <v>-5965.1667122395829</v>
      </c>
      <c r="N27" s="7">
        <f t="shared" si="7"/>
        <v>-6171.5861528862843</v>
      </c>
    </row>
    <row r="28" spans="2:14" x14ac:dyDescent="0.35">
      <c r="B28" s="1" t="s">
        <v>21</v>
      </c>
      <c r="D28" s="95"/>
      <c r="E28" s="101">
        <f>E29-E26-E27</f>
        <v>302</v>
      </c>
      <c r="F28" s="101">
        <f>F29-F26-F27</f>
        <v>-238</v>
      </c>
      <c r="G28" s="101">
        <f>G29-G26-G27</f>
        <v>-1868</v>
      </c>
      <c r="H28" s="101">
        <f>H29-H26-H27</f>
        <v>-5163</v>
      </c>
      <c r="I28" s="94">
        <f>IF(OR(I29="",I26="",I27=""),"",I29-I26-I27)</f>
        <v>10958.175278538625</v>
      </c>
      <c r="J28" s="91">
        <v>0</v>
      </c>
      <c r="K28" s="91">
        <v>0</v>
      </c>
      <c r="L28" s="91">
        <v>0</v>
      </c>
      <c r="M28" s="91">
        <v>0</v>
      </c>
      <c r="N28" s="91">
        <v>0</v>
      </c>
    </row>
    <row r="29" spans="2:14" x14ac:dyDescent="0.35">
      <c r="B29" s="1" t="s">
        <v>22</v>
      </c>
      <c r="D29" s="87"/>
      <c r="E29" s="88">
        <v>333</v>
      </c>
      <c r="F29" s="88">
        <v>788</v>
      </c>
      <c r="G29" s="88">
        <v>-1646</v>
      </c>
      <c r="H29" s="88">
        <v>-4901</v>
      </c>
      <c r="I29" s="204">
        <v>10697</v>
      </c>
      <c r="J29" s="7">
        <f>J26+J27+J28</f>
        <v>-2479.5612499999997</v>
      </c>
      <c r="K29" s="7">
        <f>K26+K27+K28</f>
        <v>-1929.3536156580208</v>
      </c>
      <c r="L29" s="7">
        <f>L26+L27+L28</f>
        <v>-632.140191430085</v>
      </c>
      <c r="M29" s="7">
        <f>M26+M27+M28</f>
        <v>1644.8999763170386</v>
      </c>
      <c r="N29" s="7">
        <f>N26+N27+N28</f>
        <v>4826.2597690447728</v>
      </c>
    </row>
    <row r="30" spans="2:14" ht="15" thickBot="1" x14ac:dyDescent="0.4">
      <c r="B30" s="190" t="s">
        <v>23</v>
      </c>
      <c r="C30" s="189"/>
      <c r="D30" s="207"/>
      <c r="E30" s="208">
        <f t="shared" ref="E30:N30" si="8">E25+E29</f>
        <v>83716</v>
      </c>
      <c r="F30" s="208">
        <f t="shared" si="8"/>
        <v>89311</v>
      </c>
      <c r="G30" s="208">
        <f t="shared" si="8"/>
        <v>107787</v>
      </c>
      <c r="H30" s="208">
        <f t="shared" si="8"/>
        <v>123627</v>
      </c>
      <c r="I30" s="208">
        <f t="shared" si="8"/>
        <v>165934</v>
      </c>
      <c r="J30" s="208">
        <f t="shared" si="8"/>
        <v>178493.91331000006</v>
      </c>
      <c r="K30" s="208">
        <f t="shared" si="8"/>
        <v>212563.71268434206</v>
      </c>
      <c r="L30" s="208">
        <f t="shared" si="8"/>
        <v>252066.338901938</v>
      </c>
      <c r="M30" s="208">
        <f t="shared" si="8"/>
        <v>295298.83045903116</v>
      </c>
      <c r="N30" s="208">
        <f t="shared" si="8"/>
        <v>342501.35301125085</v>
      </c>
    </row>
    <row r="31" spans="2:14" x14ac:dyDescent="0.35">
      <c r="B31" s="54"/>
      <c r="E31" s="21"/>
      <c r="F31" s="21"/>
      <c r="G31" s="21"/>
      <c r="H31" s="21"/>
      <c r="I31" s="21"/>
    </row>
    <row r="32" spans="2:14" x14ac:dyDescent="0.35">
      <c r="B32" s="1" t="s">
        <v>24</v>
      </c>
      <c r="D32" s="87"/>
      <c r="E32" s="88">
        <v>10978</v>
      </c>
      <c r="F32" s="88">
        <v>16950</v>
      </c>
      <c r="G32" s="88">
        <v>19651</v>
      </c>
      <c r="H32" s="88">
        <v>21795</v>
      </c>
      <c r="I32" s="204">
        <v>32185</v>
      </c>
      <c r="J32" s="41">
        <f>J30*Assumptions!$H$89</f>
        <v>35698.782662000012</v>
      </c>
      <c r="K32" s="41">
        <f>K30*Assumptions!$H$89</f>
        <v>42512.742536868413</v>
      </c>
      <c r="L32" s="41">
        <f>L30*Assumptions!$H$89</f>
        <v>50413.267780387599</v>
      </c>
      <c r="M32" s="41">
        <f>M30*Assumptions!$H$89</f>
        <v>59059.766091806232</v>
      </c>
      <c r="N32" s="41">
        <f>N30*Assumptions!$H$89</f>
        <v>68500.270602250166</v>
      </c>
    </row>
    <row r="33" spans="2:14" ht="15" thickBot="1" x14ac:dyDescent="0.4">
      <c r="B33" s="190" t="s">
        <v>25</v>
      </c>
      <c r="C33" s="189"/>
      <c r="D33" s="207"/>
      <c r="E33" s="96">
        <f t="shared" ref="E33:N33" si="9">E30-E32</f>
        <v>72738</v>
      </c>
      <c r="F33" s="96">
        <f t="shared" si="9"/>
        <v>72361</v>
      </c>
      <c r="G33" s="96">
        <f t="shared" si="9"/>
        <v>88136</v>
      </c>
      <c r="H33" s="96">
        <f t="shared" si="9"/>
        <v>101832</v>
      </c>
      <c r="I33" s="96">
        <f t="shared" si="9"/>
        <v>133749</v>
      </c>
      <c r="J33" s="98">
        <f t="shared" si="9"/>
        <v>142795.13064800005</v>
      </c>
      <c r="K33" s="98">
        <f t="shared" si="9"/>
        <v>170050.97014747365</v>
      </c>
      <c r="L33" s="98">
        <f t="shared" si="9"/>
        <v>201653.0711215504</v>
      </c>
      <c r="M33" s="98">
        <f t="shared" si="9"/>
        <v>236239.06436722493</v>
      </c>
      <c r="N33" s="98">
        <f t="shared" si="9"/>
        <v>274001.08240900066</v>
      </c>
    </row>
    <row r="36" spans="2:14" x14ac:dyDescent="0.35">
      <c r="B36" s="54" t="s">
        <v>26</v>
      </c>
      <c r="C36" s="192"/>
      <c r="D36" s="192"/>
      <c r="E36" s="57" t="s">
        <v>3</v>
      </c>
      <c r="F36" s="58"/>
      <c r="G36" s="58"/>
      <c r="H36" s="58"/>
      <c r="I36" s="58" t="s">
        <v>1113</v>
      </c>
      <c r="J36" s="59"/>
      <c r="K36" s="59"/>
      <c r="L36" s="59"/>
      <c r="M36" s="59"/>
      <c r="N36" s="59"/>
    </row>
    <row r="37" spans="2:14" x14ac:dyDescent="0.35">
      <c r="B37" t="s">
        <v>27</v>
      </c>
      <c r="E37" s="62" t="str">
        <f>(2021+COLUMN()-COLUMN($D$7))&amp;IF(COLUMN()-COLUMN($D$7)&lt;5,"A","E")</f>
        <v>2022A</v>
      </c>
      <c r="F37" s="62" t="str">
        <f>(2021+COLUMN()-COLUMN($D$7))&amp;IF(COLUMN()-COLUMN($D$7)&lt;5,"A","E")</f>
        <v>2023A</v>
      </c>
      <c r="G37" s="62" t="str">
        <f>(2021+COLUMN()-COLUMN($D$7))&amp;IF(COLUMN()-COLUMN($D$7)&lt;5,"A","E")</f>
        <v>2024A</v>
      </c>
      <c r="H37" s="62" t="str">
        <f>(2021+COLUMN()-COLUMN($D$7))&amp;IF(COLUMN()-COLUMN($D$7)&lt;5,"A","E")</f>
        <v>2025A</v>
      </c>
      <c r="I37" s="62" t="s">
        <v>5</v>
      </c>
      <c r="J37" s="63" t="str">
        <f>(2021+COLUMN()-COLUMN($D$7))&amp;IF(COLUMN()-COLUMN($D$7)&lt;5,"A","E")</f>
        <v>2027E</v>
      </c>
      <c r="K37" s="63" t="str">
        <f>(2021+COLUMN()-COLUMN($D$7))&amp;IF(COLUMN()-COLUMN($D$7)&lt;5,"A","E")</f>
        <v>2028E</v>
      </c>
      <c r="L37" s="63" t="str">
        <f>(2021+COLUMN()-COLUMN($D$7))&amp;IF(COLUMN()-COLUMN($D$7)&lt;5,"A","E")</f>
        <v>2029E</v>
      </c>
      <c r="M37" s="63" t="str">
        <f>(2021+COLUMN()-COLUMN($D$7))&amp;IF(COLUMN()-COLUMN($D$7)&lt;5,"A","E")</f>
        <v>2030E</v>
      </c>
      <c r="N37" s="63" t="str">
        <f>(2021+COLUMN()-COLUMN($D$7))&amp;IF(COLUMN()-COLUMN($D$7)&lt;5,"A","E")</f>
        <v>2031E</v>
      </c>
    </row>
    <row r="38" spans="2:14" x14ac:dyDescent="0.35">
      <c r="B38" s="54" t="s">
        <v>28</v>
      </c>
      <c r="C38" s="192"/>
      <c r="D38" s="192"/>
      <c r="E38" s="54"/>
      <c r="F38" s="54"/>
      <c r="G38" s="54"/>
      <c r="H38" s="54"/>
      <c r="I38" s="54"/>
      <c r="J38" s="54"/>
      <c r="K38" s="54"/>
      <c r="L38" s="54"/>
      <c r="M38" s="54"/>
      <c r="N38" s="54"/>
    </row>
    <row r="39" spans="2:14" x14ac:dyDescent="0.35">
      <c r="B39" t="s">
        <v>29</v>
      </c>
      <c r="D39" s="87"/>
      <c r="E39" s="91">
        <v>63364</v>
      </c>
      <c r="F39" s="91">
        <v>94151</v>
      </c>
      <c r="G39" s="91">
        <v>106820</v>
      </c>
      <c r="H39" s="91">
        <v>120810</v>
      </c>
      <c r="I39" s="91">
        <v>139996</v>
      </c>
      <c r="J39" s="7">
        <f t="shared" ref="J39:N42" si="10">J133</f>
        <v>156795.52000000002</v>
      </c>
      <c r="K39" s="7">
        <f t="shared" si="10"/>
        <v>175610.98240000004</v>
      </c>
      <c r="L39" s="7">
        <f t="shared" si="10"/>
        <v>194928.19046400007</v>
      </c>
      <c r="M39" s="7">
        <f t="shared" si="10"/>
        <v>214421.00951040009</v>
      </c>
      <c r="N39" s="7">
        <f t="shared" si="10"/>
        <v>233718.90036633611</v>
      </c>
    </row>
    <row r="40" spans="2:14" x14ac:dyDescent="0.35">
      <c r="B40" t="s">
        <v>30</v>
      </c>
      <c r="D40" s="87"/>
      <c r="E40" s="91">
        <v>74965</v>
      </c>
      <c r="F40" s="91">
        <v>72944</v>
      </c>
      <c r="G40" s="91">
        <v>87464</v>
      </c>
      <c r="H40" s="91">
        <v>106265</v>
      </c>
      <c r="I40" s="91">
        <v>137791</v>
      </c>
      <c r="J40" s="7">
        <f t="shared" si="10"/>
        <v>181884.12</v>
      </c>
      <c r="K40" s="7">
        <f t="shared" si="10"/>
        <v>232811.67360000001</v>
      </c>
      <c r="L40" s="7">
        <f t="shared" si="10"/>
        <v>288686.47526400001</v>
      </c>
      <c r="M40" s="7">
        <f t="shared" si="10"/>
        <v>349310.63506944</v>
      </c>
      <c r="N40" s="7">
        <f t="shared" si="10"/>
        <v>412186.54938193917</v>
      </c>
    </row>
    <row r="41" spans="2:14" x14ac:dyDescent="0.35">
      <c r="B41" t="s">
        <v>31</v>
      </c>
      <c r="D41" s="87"/>
      <c r="E41" s="91">
        <v>59941</v>
      </c>
      <c r="F41" s="91">
        <v>44820</v>
      </c>
      <c r="G41" s="91">
        <v>50838</v>
      </c>
      <c r="H41" s="91">
        <v>54649</v>
      </c>
      <c r="I41" s="91">
        <v>54052</v>
      </c>
      <c r="J41" s="7">
        <f t="shared" si="10"/>
        <v>51349.399999999994</v>
      </c>
      <c r="K41" s="7">
        <f t="shared" si="10"/>
        <v>51862.893999999993</v>
      </c>
      <c r="L41" s="7">
        <f t="shared" si="10"/>
        <v>52900.15187999999</v>
      </c>
      <c r="M41" s="7">
        <f t="shared" si="10"/>
        <v>54487.156436399993</v>
      </c>
      <c r="N41" s="7">
        <f t="shared" si="10"/>
        <v>56121.771129491994</v>
      </c>
    </row>
    <row r="42" spans="2:14" ht="15" thickBot="1" x14ac:dyDescent="0.4">
      <c r="B42" s="73" t="s">
        <v>32</v>
      </c>
      <c r="C42" s="193"/>
      <c r="D42" s="209"/>
      <c r="E42" s="13">
        <f>SUM(E39:E41)</f>
        <v>198270</v>
      </c>
      <c r="F42" s="13">
        <f>SUM(F39:F41)</f>
        <v>211915</v>
      </c>
      <c r="G42" s="13">
        <f>SUM(G39:G41)</f>
        <v>245122</v>
      </c>
      <c r="H42" s="13">
        <f>SUM(H39:H41)</f>
        <v>281724</v>
      </c>
      <c r="I42" s="13">
        <f>SUM(I39:I41)</f>
        <v>331839</v>
      </c>
      <c r="J42" s="98">
        <f t="shared" si="10"/>
        <v>390029.04000000004</v>
      </c>
      <c r="K42" s="98">
        <f t="shared" si="10"/>
        <v>460285.55000000005</v>
      </c>
      <c r="L42" s="98">
        <f t="shared" si="10"/>
        <v>536514.81760800013</v>
      </c>
      <c r="M42" s="98">
        <f t="shared" si="10"/>
        <v>618218.80101624015</v>
      </c>
      <c r="N42" s="98">
        <f t="shared" si="10"/>
        <v>702027.22087776731</v>
      </c>
    </row>
    <row r="43" spans="2:14" x14ac:dyDescent="0.35">
      <c r="E43" s="4"/>
      <c r="F43" s="4"/>
      <c r="G43" s="4"/>
      <c r="H43" s="4"/>
      <c r="I43" s="4"/>
      <c r="J43" s="18"/>
      <c r="K43" s="4"/>
      <c r="L43" s="4"/>
      <c r="M43" s="4"/>
      <c r="N43" s="4"/>
    </row>
    <row r="44" spans="2:14" x14ac:dyDescent="0.35">
      <c r="B44" s="54" t="s">
        <v>482</v>
      </c>
      <c r="C44" s="192"/>
      <c r="D44" s="192"/>
      <c r="E44" s="18"/>
      <c r="F44" s="18"/>
      <c r="G44" s="18"/>
      <c r="H44" s="18"/>
      <c r="I44" s="18"/>
      <c r="J44" s="18"/>
      <c r="K44" s="18"/>
      <c r="L44" s="18"/>
      <c r="M44" s="18"/>
      <c r="N44" s="18"/>
    </row>
    <row r="45" spans="2:14" x14ac:dyDescent="0.35">
      <c r="B45" t="s">
        <v>29</v>
      </c>
      <c r="D45" s="87"/>
      <c r="E45" s="91">
        <v>29690</v>
      </c>
      <c r="F45" s="91">
        <v>50074</v>
      </c>
      <c r="G45" s="91">
        <v>59661</v>
      </c>
      <c r="H45" s="91">
        <v>69773</v>
      </c>
      <c r="I45" s="91">
        <v>83879</v>
      </c>
      <c r="J45" s="7">
        <f>IFERROR(J39*($I$45/$I$39)*(J$25/SUMPRODUCT(J$39:J$41,$I$45:$I$47/$I$39:$I$41)),0)</f>
        <v>92998.558653328131</v>
      </c>
      <c r="K45" s="7">
        <f>IFERROR(K39*($I$45/$I$39)*(K$25/SUMPRODUCT(K$39:K$41,$I$45:$I$47/$I$39:$I$41)),0)</f>
        <v>104832.68091518017</v>
      </c>
      <c r="L45" s="7">
        <f>IFERROR(L39*($I$45/$I$39)*(L$25/SUMPRODUCT(L$39:L$41,$I$45:$I$47/$I$39:$I$41)),0)</f>
        <v>117942.27100238917</v>
      </c>
      <c r="M45" s="7">
        <f>IFERROR(M39*($I$45/$I$39)*(M$25/SUMPRODUCT(M$39:M$41,$I$45:$I$47/$I$39:$I$41)),0)</f>
        <v>131266.02233797425</v>
      </c>
      <c r="N45" s="7">
        <f>IFERROR(N39*($I$45/$I$39)*(N$25/SUMPRODUCT(N$39:N$41,$I$45:$I$47/$I$39:$I$41)),0)</f>
        <v>145317.7717834833</v>
      </c>
    </row>
    <row r="46" spans="2:14" x14ac:dyDescent="0.35">
      <c r="B46" t="s">
        <v>30</v>
      </c>
      <c r="D46" s="87"/>
      <c r="E46" s="91">
        <v>33203</v>
      </c>
      <c r="F46" s="91">
        <v>28411</v>
      </c>
      <c r="G46" s="91">
        <v>37813</v>
      </c>
      <c r="H46" s="91">
        <v>44589</v>
      </c>
      <c r="I46" s="91">
        <v>56972</v>
      </c>
      <c r="J46" s="7">
        <f>IFERROR(J40*($I$46/$I$40)*(J$25/SUMPRODUCT(J$39:J$41,$I$45:$I$47/$I$39:$I$41)),0)</f>
        <v>74445.825091038671</v>
      </c>
      <c r="K46" s="7">
        <f>IFERROR(K40*($I$46/$I$40)*(K$25/SUMPRODUCT(K$39:K$41,$I$45:$I$47/$I$39:$I$41)),0)</f>
        <v>95907.543886365092</v>
      </c>
      <c r="L46" s="7">
        <f>IFERROR(L40*($I$46/$I$40)*(L$25/SUMPRODUCT(L$39:L$41,$I$45:$I$47/$I$39:$I$41)),0)</f>
        <v>120538.07993570896</v>
      </c>
      <c r="M46" s="7">
        <f>IFERROR(M40*($I$46/$I$40)*(M$25/SUMPRODUCT(M$39:M$41,$I$45:$I$47/$I$39:$I$41)),0)</f>
        <v>147570.58325938505</v>
      </c>
      <c r="N46" s="7">
        <f>IFERROR(N40*($I$46/$I$40)*(N$25/SUMPRODUCT(N$39:N$41,$I$45:$I$47/$I$39:$I$41)),0)</f>
        <v>176856.77765221603</v>
      </c>
    </row>
    <row r="47" spans="2:14" x14ac:dyDescent="0.35">
      <c r="B47" t="s">
        <v>31</v>
      </c>
      <c r="D47" s="87"/>
      <c r="E47" s="91">
        <v>20490</v>
      </c>
      <c r="F47" s="91">
        <v>10038</v>
      </c>
      <c r="G47" s="91">
        <v>11959</v>
      </c>
      <c r="H47" s="91">
        <v>14166</v>
      </c>
      <c r="I47" s="91">
        <v>14386</v>
      </c>
      <c r="J47" s="7">
        <f>IFERROR(J41*($I$47/$I$41)*(J$25/SUMPRODUCT(J$39:J$41,$I$45:$I$47/$I$39:$I$41)),0)</f>
        <v>13529.090815633226</v>
      </c>
      <c r="K47" s="7">
        <f>IFERROR(K41*($I$47/$I$41)*(K$25/SUMPRODUCT(K$39:K$41,$I$45:$I$47/$I$39:$I$41)),0)</f>
        <v>13752.841498454794</v>
      </c>
      <c r="L47" s="7">
        <f>IFERROR(L41*($I$47/$I$41)*(L$25/SUMPRODUCT(L$39:L$41,$I$45:$I$47/$I$39:$I$41)),0)</f>
        <v>14218.128155269924</v>
      </c>
      <c r="M47" s="7">
        <f>IFERROR(M41*($I$47/$I$41)*(M$25/SUMPRODUCT(M$39:M$41,$I$45:$I$47/$I$39:$I$41)),0)</f>
        <v>14817.32488535481</v>
      </c>
      <c r="N47" s="7">
        <f>IFERROR(N41*($I$47/$I$41)*(N$25/SUMPRODUCT(N$39:N$41,$I$45:$I$47/$I$39:$I$41)),0)</f>
        <v>15500.543806506726</v>
      </c>
    </row>
    <row r="48" spans="2:14" ht="15" thickBot="1" x14ac:dyDescent="0.4">
      <c r="B48" s="73" t="s">
        <v>483</v>
      </c>
      <c r="C48" s="193"/>
      <c r="D48" s="209"/>
      <c r="E48" s="13">
        <f t="shared" ref="E48:N48" si="11">SUM(E45:E47)</f>
        <v>83383</v>
      </c>
      <c r="F48" s="13">
        <f t="shared" si="11"/>
        <v>88523</v>
      </c>
      <c r="G48" s="13">
        <f t="shared" si="11"/>
        <v>109433</v>
      </c>
      <c r="H48" s="13">
        <f t="shared" si="11"/>
        <v>128528</v>
      </c>
      <c r="I48" s="13">
        <f t="shared" si="11"/>
        <v>155237</v>
      </c>
      <c r="J48" s="13">
        <f t="shared" si="11"/>
        <v>180973.47456000003</v>
      </c>
      <c r="K48" s="13">
        <f t="shared" si="11"/>
        <v>214493.06630000006</v>
      </c>
      <c r="L48" s="13">
        <f t="shared" si="11"/>
        <v>252698.47909336805</v>
      </c>
      <c r="M48" s="13">
        <f t="shared" si="11"/>
        <v>293653.93048271409</v>
      </c>
      <c r="N48" s="13">
        <f t="shared" si="11"/>
        <v>337675.09324220609</v>
      </c>
    </row>
    <row r="49" spans="2:14" x14ac:dyDescent="0.35">
      <c r="B49" t="s">
        <v>484</v>
      </c>
      <c r="E49" s="4"/>
      <c r="F49" s="4"/>
      <c r="G49" s="4"/>
      <c r="H49" s="4"/>
      <c r="I49" s="7"/>
      <c r="J49" s="7">
        <f>J48-J25</f>
        <v>0</v>
      </c>
      <c r="K49" s="7">
        <f>K48-K25</f>
        <v>0</v>
      </c>
      <c r="L49" s="7">
        <f>L48-L25</f>
        <v>0</v>
      </c>
      <c r="M49" s="7">
        <f>M48-M25</f>
        <v>0</v>
      </c>
      <c r="N49" s="7">
        <f>N48-N25</f>
        <v>0</v>
      </c>
    </row>
    <row r="50" spans="2:14" x14ac:dyDescent="0.35">
      <c r="B50" s="75"/>
      <c r="C50" s="75"/>
      <c r="D50" s="75"/>
      <c r="E50" s="75"/>
      <c r="F50" s="75"/>
      <c r="G50" s="75"/>
      <c r="H50" s="75"/>
      <c r="I50" s="75"/>
      <c r="J50" s="75"/>
      <c r="K50" s="75"/>
      <c r="L50" s="75"/>
      <c r="M50" s="75"/>
      <c r="N50" s="75"/>
    </row>
    <row r="51" spans="2:14" x14ac:dyDescent="0.35">
      <c r="B51" s="56" t="s">
        <v>40</v>
      </c>
      <c r="E51" s="57" t="s">
        <v>3</v>
      </c>
      <c r="F51" s="58"/>
      <c r="G51" s="58"/>
      <c r="H51" s="58"/>
      <c r="I51" s="58" t="s">
        <v>1113</v>
      </c>
      <c r="J51" s="59"/>
      <c r="K51" s="59"/>
      <c r="L51" s="59"/>
      <c r="M51" s="59"/>
      <c r="N51" s="59"/>
    </row>
    <row r="52" spans="2:14" x14ac:dyDescent="0.35">
      <c r="B52" s="76" t="s">
        <v>41</v>
      </c>
      <c r="E52" s="62" t="str">
        <f>(2021+COLUMN()-COLUMN($D$7))&amp;IF(COLUMN()-COLUMN($D$7)&lt;5,"A","E")</f>
        <v>2022A</v>
      </c>
      <c r="F52" s="62" t="str">
        <f>(2021+COLUMN()-COLUMN($D$7))&amp;IF(COLUMN()-COLUMN($D$7)&lt;5,"A","E")</f>
        <v>2023A</v>
      </c>
      <c r="G52" s="62" t="str">
        <f>(2021+COLUMN()-COLUMN($D$7))&amp;IF(COLUMN()-COLUMN($D$7)&lt;5,"A","E")</f>
        <v>2024A</v>
      </c>
      <c r="H52" s="62" t="str">
        <f>(2021+COLUMN()-COLUMN($D$7))&amp;IF(COLUMN()-COLUMN($D$7)&lt;5,"A","E")</f>
        <v>2025A</v>
      </c>
      <c r="I52" s="77" t="s">
        <v>5</v>
      </c>
      <c r="J52" s="63" t="str">
        <f>(2021+COLUMN()-COLUMN($D$7))&amp;IF(COLUMN()-COLUMN($D$7)&lt;5,"A","E")</f>
        <v>2027E</v>
      </c>
      <c r="K52" s="63" t="str">
        <f>(2021+COLUMN()-COLUMN($D$7))&amp;IF(COLUMN()-COLUMN($D$7)&lt;5,"A","E")</f>
        <v>2028E</v>
      </c>
      <c r="L52" s="63" t="str">
        <f>(2021+COLUMN()-COLUMN($D$7))&amp;IF(COLUMN()-COLUMN($D$7)&lt;5,"A","E")</f>
        <v>2029E</v>
      </c>
      <c r="M52" s="63" t="str">
        <f>(2021+COLUMN()-COLUMN($D$7))&amp;IF(COLUMN()-COLUMN($D$7)&lt;5,"A","E")</f>
        <v>2030E</v>
      </c>
      <c r="N52" s="63" t="str">
        <f>(2021+COLUMN()-COLUMN($D$7))&amp;IF(COLUMN()-COLUMN($D$7)&lt;5,"A","E")</f>
        <v>2031E</v>
      </c>
    </row>
    <row r="53" spans="2:14" x14ac:dyDescent="0.35">
      <c r="B53" s="65" t="s">
        <v>42</v>
      </c>
    </row>
    <row r="54" spans="2:14" x14ac:dyDescent="0.35">
      <c r="B54" t="s">
        <v>25</v>
      </c>
      <c r="D54" s="87"/>
      <c r="E54" s="88">
        <v>72738</v>
      </c>
      <c r="F54" s="88">
        <v>72361</v>
      </c>
      <c r="G54" s="88">
        <v>88136</v>
      </c>
      <c r="H54" s="88">
        <v>101832</v>
      </c>
      <c r="I54" s="204">
        <v>133749</v>
      </c>
      <c r="J54" s="7">
        <f>J33</f>
        <v>142795.13064800005</v>
      </c>
      <c r="K54" s="7">
        <f>K33</f>
        <v>170050.97014747365</v>
      </c>
      <c r="L54" s="7">
        <f>L33</f>
        <v>201653.0711215504</v>
      </c>
      <c r="M54" s="7">
        <f>M33</f>
        <v>236239.06436722493</v>
      </c>
      <c r="N54" s="7">
        <f>N33</f>
        <v>274001.08240900066</v>
      </c>
    </row>
    <row r="55" spans="2:14" x14ac:dyDescent="0.35">
      <c r="B55" s="54" t="s">
        <v>43</v>
      </c>
      <c r="E55" s="2"/>
      <c r="F55" s="2"/>
      <c r="G55" s="2"/>
      <c r="H55" s="2"/>
      <c r="I55" s="2"/>
    </row>
    <row r="56" spans="2:14" x14ac:dyDescent="0.35">
      <c r="B56" s="1" t="s">
        <v>597</v>
      </c>
      <c r="D56" s="87"/>
      <c r="E56" s="88">
        <v>14460</v>
      </c>
      <c r="F56" s="88">
        <v>13861</v>
      </c>
      <c r="G56" s="88">
        <v>20958</v>
      </c>
      <c r="H56" s="88">
        <v>29433</v>
      </c>
      <c r="I56" s="204">
        <v>38534</v>
      </c>
      <c r="J56" s="7">
        <f>J23</f>
        <v>53706.880000000005</v>
      </c>
      <c r="K56" s="7">
        <f>K23</f>
        <v>67337.145600000003</v>
      </c>
      <c r="L56" s="7">
        <f>L23</f>
        <v>81738.256672000003</v>
      </c>
      <c r="M56" s="7">
        <f>M23</f>
        <v>95910.173304640004</v>
      </c>
      <c r="N56" s="7">
        <f>N23</f>
        <v>110596.9007750368</v>
      </c>
    </row>
    <row r="57" spans="2:14" x14ac:dyDescent="0.35">
      <c r="B57" s="1" t="s">
        <v>45</v>
      </c>
      <c r="D57" s="87"/>
      <c r="E57" s="88">
        <v>7502</v>
      </c>
      <c r="F57" s="88">
        <v>9611</v>
      </c>
      <c r="G57" s="88">
        <v>10734</v>
      </c>
      <c r="H57" s="88">
        <v>11974</v>
      </c>
      <c r="I57" s="204">
        <v>12405</v>
      </c>
      <c r="J57" s="7">
        <f>J255</f>
        <v>14431.074480000001</v>
      </c>
      <c r="K57" s="7">
        <f>K255</f>
        <v>16570.2798</v>
      </c>
      <c r="L57" s="7">
        <f>L255</f>
        <v>18778.018616280006</v>
      </c>
      <c r="M57" s="7">
        <f>M255</f>
        <v>21019.439234552166</v>
      </c>
      <c r="N57" s="7">
        <f>N255</f>
        <v>23166.898288966324</v>
      </c>
    </row>
    <row r="58" spans="2:14" x14ac:dyDescent="0.35">
      <c r="B58" s="1" t="s">
        <v>46</v>
      </c>
      <c r="D58" s="87"/>
      <c r="E58" s="88">
        <v>-409</v>
      </c>
      <c r="F58" s="88">
        <v>196</v>
      </c>
      <c r="G58" s="88">
        <v>1634</v>
      </c>
      <c r="H58" s="88">
        <v>5329</v>
      </c>
      <c r="I58" s="204">
        <v>-11047</v>
      </c>
      <c r="J58" s="88">
        <v>0</v>
      </c>
      <c r="K58" s="88">
        <v>0</v>
      </c>
      <c r="L58" s="88">
        <v>0</v>
      </c>
      <c r="M58" s="88">
        <v>0</v>
      </c>
      <c r="N58" s="88">
        <v>0</v>
      </c>
    </row>
    <row r="59" spans="2:14" x14ac:dyDescent="0.35">
      <c r="B59" s="1" t="s">
        <v>47</v>
      </c>
      <c r="D59" s="87"/>
      <c r="E59" s="88">
        <v>-5702</v>
      </c>
      <c r="F59" s="88">
        <v>-6059</v>
      </c>
      <c r="G59" s="88">
        <v>-4738</v>
      </c>
      <c r="H59" s="88">
        <v>-7056</v>
      </c>
      <c r="I59" s="204">
        <v>14189</v>
      </c>
      <c r="J59" s="7">
        <f>J116-I116</f>
        <v>0</v>
      </c>
      <c r="K59" s="7">
        <f>K116-J116</f>
        <v>0</v>
      </c>
      <c r="L59" s="7">
        <f>L116-K116</f>
        <v>0</v>
      </c>
      <c r="M59" s="7">
        <f>M116-L116</f>
        <v>0</v>
      </c>
      <c r="N59" s="7">
        <f>N116-M116</f>
        <v>0</v>
      </c>
    </row>
    <row r="60" spans="2:14" x14ac:dyDescent="0.35">
      <c r="B60" s="55" t="s">
        <v>49</v>
      </c>
      <c r="E60" s="2"/>
      <c r="F60" s="2"/>
      <c r="G60" s="2"/>
      <c r="H60" s="2"/>
      <c r="I60" s="2"/>
    </row>
    <row r="61" spans="2:14" x14ac:dyDescent="0.35">
      <c r="B61" s="1" t="s">
        <v>50</v>
      </c>
      <c r="D61" s="87"/>
      <c r="E61" s="88">
        <v>-6834</v>
      </c>
      <c r="F61" s="88">
        <v>-4087</v>
      </c>
      <c r="G61" s="88">
        <v>-7191</v>
      </c>
      <c r="H61" s="88">
        <v>-10581</v>
      </c>
      <c r="I61" s="204">
        <v>-12737</v>
      </c>
      <c r="J61" s="7">
        <f t="shared" ref="J61:N62" si="12">I94-J94</f>
        <v>-14226.971397260277</v>
      </c>
      <c r="K61" s="7">
        <f t="shared" si="12"/>
        <v>-17131.039424657545</v>
      </c>
      <c r="L61" s="7">
        <f t="shared" si="12"/>
        <v>-17117.506847956174</v>
      </c>
      <c r="M61" s="7">
        <f t="shared" si="12"/>
        <v>-19698.494629931854</v>
      </c>
      <c r="N61" s="7">
        <f t="shared" si="12"/>
        <v>-18282.503361470182</v>
      </c>
    </row>
    <row r="62" spans="2:14" x14ac:dyDescent="0.35">
      <c r="B62" s="1" t="s">
        <v>51</v>
      </c>
      <c r="D62" s="87"/>
      <c r="E62" s="88">
        <v>-1123</v>
      </c>
      <c r="F62" s="88">
        <v>1242</v>
      </c>
      <c r="G62" s="88">
        <v>1284</v>
      </c>
      <c r="H62" s="88">
        <v>309</v>
      </c>
      <c r="I62" s="204">
        <v>-461</v>
      </c>
      <c r="J62" s="7">
        <f t="shared" si="12"/>
        <v>-440.94506520547952</v>
      </c>
      <c r="K62" s="7">
        <f t="shared" si="12"/>
        <v>-331.07177315068452</v>
      </c>
      <c r="L62" s="7">
        <f t="shared" si="12"/>
        <v>-344.51833454706957</v>
      </c>
      <c r="M62" s="7">
        <f t="shared" si="12"/>
        <v>-365.8400647066519</v>
      </c>
      <c r="N62" s="7">
        <f t="shared" si="12"/>
        <v>-371.10696316662597</v>
      </c>
    </row>
    <row r="63" spans="2:14" x14ac:dyDescent="0.35">
      <c r="B63" s="78" t="s">
        <v>500</v>
      </c>
      <c r="D63" s="87"/>
      <c r="E63" s="88">
        <v>-3514</v>
      </c>
      <c r="F63" s="88">
        <v>-4824</v>
      </c>
      <c r="G63" s="88">
        <v>-8465</v>
      </c>
      <c r="H63" s="88">
        <v>-5994</v>
      </c>
      <c r="I63" s="88">
        <v>-6591</v>
      </c>
      <c r="J63" s="7">
        <f>J281-J282</f>
        <v>678.79285714285834</v>
      </c>
      <c r="K63" s="7">
        <f t="shared" ref="K63:N63" si="13">K281-K282</f>
        <v>830.49702026239174</v>
      </c>
      <c r="L63" s="7">
        <f t="shared" si="13"/>
        <v>945.20652079012689</v>
      </c>
      <c r="M63" s="7">
        <f t="shared" si="13"/>
        <v>1032.1944199778518</v>
      </c>
      <c r="N63" s="7">
        <f t="shared" si="13"/>
        <v>1098.4102165427175</v>
      </c>
    </row>
    <row r="64" spans="2:14" x14ac:dyDescent="0.35">
      <c r="B64" s="1" t="s">
        <v>55</v>
      </c>
      <c r="D64" s="87"/>
      <c r="E64" s="88">
        <v>2943</v>
      </c>
      <c r="F64" s="88">
        <v>-2721</v>
      </c>
      <c r="G64" s="88">
        <v>3545</v>
      </c>
      <c r="H64" s="88">
        <v>569</v>
      </c>
      <c r="I64" s="88">
        <v>5268</v>
      </c>
      <c r="J64" s="7">
        <f>J106-I106</f>
        <v>9046.4618257534239</v>
      </c>
      <c r="K64" s="7">
        <f>K106-J106</f>
        <v>7100.9928098630189</v>
      </c>
      <c r="L64" s="7">
        <f>L106-K106</f>
        <v>6788.4598598676166</v>
      </c>
      <c r="M64" s="7">
        <f>M106-L106</f>
        <v>6632.4664447630785</v>
      </c>
      <c r="N64" s="7">
        <f>N106-M106</f>
        <v>6027.1918783891306</v>
      </c>
    </row>
    <row r="65" spans="2:14" x14ac:dyDescent="0.35">
      <c r="B65" s="1" t="s">
        <v>56</v>
      </c>
      <c r="D65" s="87"/>
      <c r="E65" s="88">
        <v>5109</v>
      </c>
      <c r="F65" s="88">
        <v>5535</v>
      </c>
      <c r="G65" s="88">
        <v>5348</v>
      </c>
      <c r="H65" s="88">
        <v>5438</v>
      </c>
      <c r="I65" s="88">
        <v>9361</v>
      </c>
      <c r="J65" s="7">
        <f>J206-I206</f>
        <v>10094.388800000015</v>
      </c>
      <c r="K65" s="7">
        <f>K206-J206</f>
        <v>15456.432199999996</v>
      </c>
      <c r="L65" s="7">
        <f>L206-K206</f>
        <v>16770.438873760024</v>
      </c>
      <c r="M65" s="7">
        <f>M206-L206</f>
        <v>17974.876349812796</v>
      </c>
      <c r="N65" s="7">
        <f>N206-M206</f>
        <v>18437.852369535976</v>
      </c>
    </row>
    <row r="66" spans="2:14" x14ac:dyDescent="0.35">
      <c r="B66" s="1" t="s">
        <v>57</v>
      </c>
      <c r="D66" s="87"/>
      <c r="E66" s="88">
        <v>696</v>
      </c>
      <c r="F66" s="88">
        <v>-358</v>
      </c>
      <c r="G66" s="88">
        <v>1687</v>
      </c>
      <c r="H66" s="88">
        <v>-38</v>
      </c>
      <c r="I66" s="88">
        <v>-1875</v>
      </c>
      <c r="J66" s="7">
        <f>J110-I110</f>
        <v>444.3527173117086</v>
      </c>
      <c r="K66" s="7">
        <f>K110-J110</f>
        <v>536.49509653777932</v>
      </c>
      <c r="L66" s="7">
        <f>L110-K110</f>
        <v>582.1044666801431</v>
      </c>
      <c r="M66" s="7">
        <f>M110-L110</f>
        <v>623.91067341837606</v>
      </c>
      <c r="N66" s="7">
        <f>N110-M110</f>
        <v>639.98064100093598</v>
      </c>
    </row>
    <row r="67" spans="2:14" x14ac:dyDescent="0.35">
      <c r="B67" s="1" t="s">
        <v>1114</v>
      </c>
      <c r="D67" s="87"/>
      <c r="E67" s="88">
        <v>3169</v>
      </c>
      <c r="F67" s="88">
        <v>2825</v>
      </c>
      <c r="G67" s="88">
        <v>5616</v>
      </c>
      <c r="H67" s="88">
        <v>4947</v>
      </c>
      <c r="I67" s="88">
        <v>2140</v>
      </c>
      <c r="J67" s="41">
        <f>(J109-I109)+(J112-($I112-Assumptions!$L$94-Assumptions!$L$95))</f>
        <v>5611.3997450570932</v>
      </c>
      <c r="K67" s="7">
        <f>((K109-J109)+(K112-J112))</f>
        <v>6774.9972727738459</v>
      </c>
      <c r="L67" s="7">
        <f>((L109-K109)+(L112-K112))</f>
        <v>7350.9640622591178</v>
      </c>
      <c r="M67" s="7">
        <f>((M109-L109)+(M112-L112))</f>
        <v>7878.9035317237576</v>
      </c>
      <c r="N67" s="7">
        <f>((N109-M109)+(N112-M112))</f>
        <v>8081.8391918034613</v>
      </c>
    </row>
    <row r="68" spans="2:14" x14ac:dyDescent="0.35">
      <c r="B68" s="79" t="s">
        <v>61</v>
      </c>
      <c r="C68" s="194"/>
      <c r="D68" s="210"/>
      <c r="E68" s="8">
        <f>IF(COUNT(E54,E56:E59,E61:E62,E63:E66,E67)=0,"",SUM(E54,E56:E59,E61:E62,E63,E64:E66,E67))</f>
        <v>89035</v>
      </c>
      <c r="F68" s="8">
        <f>IF(COUNT(F54,F56:F59,F61:F62,F63:F66,F67)=0,"",SUM(F54,F56:F59,F61:F62,F63,F64:F66,F67))</f>
        <v>87582</v>
      </c>
      <c r="G68" s="8">
        <f>IF(COUNT(G54,G56:G59,G61:G62,G63:G66,G67)=0,"",SUM(G54,G56:G59,G61:G62,G63,G64:G66,G67))</f>
        <v>118548</v>
      </c>
      <c r="H68" s="8">
        <f>IF(COUNT(H54,H56:H59,H61:H62,H63:H66,H67)=0,"",SUM(H54,H56:H59,H61:H62,H63,H64:H66,H67))</f>
        <v>136162</v>
      </c>
      <c r="I68" s="8">
        <f>IF(COUNT(I54,I56:I59,I61:I62,I63:I66,I67)=0,"",SUM(I54,I56:I59,I61:I62,I63,I64:I66,I67))</f>
        <v>182935</v>
      </c>
      <c r="J68" s="8">
        <f>SUM(J54,J56:J60,J61:J62,J63:J67)</f>
        <v>222140.56461079943</v>
      </c>
      <c r="K68" s="8">
        <f>SUM(K54,K56:K60,K61:K62,K63:K67)</f>
        <v>267195.69874910242</v>
      </c>
      <c r="L68" s="8">
        <f>SUM(L54,L56:L60,L61:L62,L63:L67)</f>
        <v>317144.49501068424</v>
      </c>
      <c r="M68" s="8">
        <f>SUM(M54,M56:M60,M61:M62,M63:M67)</f>
        <v>367246.69363147439</v>
      </c>
      <c r="N68" s="8">
        <f>SUM(N54,N56:N60,N61:N62,N63:N67)</f>
        <v>423396.54544563923</v>
      </c>
    </row>
    <row r="69" spans="2:14" x14ac:dyDescent="0.35">
      <c r="B69" s="65" t="s">
        <v>62</v>
      </c>
      <c r="E69" s="2"/>
      <c r="F69" s="2"/>
      <c r="G69" s="3"/>
      <c r="H69" s="3"/>
      <c r="I69" s="2"/>
    </row>
    <row r="70" spans="2:14" x14ac:dyDescent="0.35">
      <c r="B70" s="78" t="s">
        <v>63</v>
      </c>
      <c r="D70" s="87"/>
      <c r="E70" s="88">
        <v>-9023</v>
      </c>
      <c r="F70" s="88">
        <v>-2750</v>
      </c>
      <c r="G70" s="88">
        <v>575</v>
      </c>
      <c r="H70" s="88">
        <v>-8962</v>
      </c>
      <c r="I70" s="88">
        <v>-3000</v>
      </c>
      <c r="J70" s="7">
        <f>J227</f>
        <v>-2200</v>
      </c>
      <c r="K70" s="7">
        <f>K227</f>
        <v>-3000</v>
      </c>
      <c r="L70" s="7">
        <f>L227</f>
        <v>-1300</v>
      </c>
      <c r="M70" s="7">
        <f>M227</f>
        <v>-2300</v>
      </c>
      <c r="N70" s="7">
        <f>N227</f>
        <v>-2000</v>
      </c>
    </row>
    <row r="71" spans="2:14" x14ac:dyDescent="0.35">
      <c r="B71" s="78" t="s">
        <v>64</v>
      </c>
      <c r="D71" s="87"/>
      <c r="E71" s="88">
        <v>-30855</v>
      </c>
      <c r="F71" s="88">
        <v>-20379</v>
      </c>
      <c r="G71" s="88">
        <v>-15252</v>
      </c>
      <c r="H71" s="88">
        <v>-16364</v>
      </c>
      <c r="I71" s="88">
        <v>-20262</v>
      </c>
      <c r="J71" s="41">
        <f>-Assumptions!E108</f>
        <v>-22000</v>
      </c>
      <c r="K71" s="41">
        <f>-Assumptions!F108</f>
        <v>-24000</v>
      </c>
      <c r="L71" s="41">
        <f>-Assumptions!G108</f>
        <v>-26000</v>
      </c>
      <c r="M71" s="41">
        <f>-Assumptions!H108</f>
        <v>-28000</v>
      </c>
      <c r="N71" s="41">
        <f>-Assumptions!I108</f>
        <v>-30000</v>
      </c>
    </row>
    <row r="72" spans="2:14" x14ac:dyDescent="0.35">
      <c r="B72" s="1" t="s">
        <v>65</v>
      </c>
      <c r="D72" s="87"/>
      <c r="E72" s="88">
        <v>-18135</v>
      </c>
      <c r="F72" s="88">
        <v>-19800</v>
      </c>
      <c r="G72" s="88">
        <v>-21771</v>
      </c>
      <c r="H72" s="88">
        <v>-24082</v>
      </c>
      <c r="I72" s="204">
        <v>-26445</v>
      </c>
      <c r="J72" s="7">
        <f>J251</f>
        <v>-28559.02612960001</v>
      </c>
      <c r="K72" s="7">
        <f>K251</f>
        <v>-34010.194029494734</v>
      </c>
      <c r="L72" s="7">
        <f>L251</f>
        <v>-40330.614224310084</v>
      </c>
      <c r="M72" s="7">
        <f>M251</f>
        <v>-47247.812873444986</v>
      </c>
      <c r="N72" s="7">
        <f>N251</f>
        <v>-54800.216481800133</v>
      </c>
    </row>
    <row r="73" spans="2:14" x14ac:dyDescent="0.35">
      <c r="B73" s="1" t="s">
        <v>66</v>
      </c>
      <c r="D73" s="87"/>
      <c r="E73" s="88">
        <v>-863</v>
      </c>
      <c r="F73" s="88">
        <v>-1006</v>
      </c>
      <c r="G73" s="88">
        <v>-1309</v>
      </c>
      <c r="H73" s="88">
        <v>-2291</v>
      </c>
      <c r="I73" s="204">
        <v>-2839</v>
      </c>
      <c r="J73" s="101">
        <f>-J292</f>
        <v>-5549.5</v>
      </c>
      <c r="K73" s="101">
        <f>-K292</f>
        <v>-6337.041666666667</v>
      </c>
      <c r="L73" s="101">
        <f>-L292</f>
        <v>-7058.9548611111104</v>
      </c>
      <c r="M73" s="101">
        <f>-M292</f>
        <v>-7720.7086226851852</v>
      </c>
      <c r="N73" s="101">
        <f>-N292</f>
        <v>-8327.3162374614203</v>
      </c>
    </row>
    <row r="74" spans="2:14" x14ac:dyDescent="0.35">
      <c r="B74" s="79" t="s">
        <v>67</v>
      </c>
      <c r="C74" s="194"/>
      <c r="D74" s="210"/>
      <c r="E74" s="8">
        <f t="shared" ref="E74:N74" si="14">IF(COUNT(E70:E73)=0,"",SUM(E70:E73))</f>
        <v>-58876</v>
      </c>
      <c r="F74" s="8">
        <f t="shared" si="14"/>
        <v>-43935</v>
      </c>
      <c r="G74" s="8">
        <f t="shared" si="14"/>
        <v>-37757</v>
      </c>
      <c r="H74" s="8">
        <f t="shared" si="14"/>
        <v>-51699</v>
      </c>
      <c r="I74" s="9">
        <f t="shared" si="14"/>
        <v>-52546</v>
      </c>
      <c r="J74" s="10">
        <f t="shared" si="14"/>
        <v>-58308.52612960001</v>
      </c>
      <c r="K74" s="10">
        <f t="shared" si="14"/>
        <v>-67347.235696161399</v>
      </c>
      <c r="L74" s="10">
        <f t="shared" si="14"/>
        <v>-74689.569085421201</v>
      </c>
      <c r="M74" s="10">
        <f t="shared" si="14"/>
        <v>-85268.521496130168</v>
      </c>
      <c r="N74" s="10">
        <f t="shared" si="14"/>
        <v>-95127.532719261551</v>
      </c>
    </row>
    <row r="75" spans="2:14" x14ac:dyDescent="0.35">
      <c r="B75" s="65" t="s">
        <v>68</v>
      </c>
      <c r="E75" s="2"/>
      <c r="F75" s="2"/>
      <c r="G75" s="3"/>
      <c r="H75" s="3"/>
      <c r="I75" s="2"/>
    </row>
    <row r="76" spans="2:14" x14ac:dyDescent="0.35">
      <c r="B76" s="1" t="s">
        <v>69</v>
      </c>
      <c r="D76" s="87"/>
      <c r="E76" s="88">
        <v>-23886</v>
      </c>
      <c r="F76" s="88">
        <v>-28107</v>
      </c>
      <c r="G76" s="88">
        <v>-44477</v>
      </c>
      <c r="H76" s="88">
        <v>-64551</v>
      </c>
      <c r="I76" s="204">
        <v>-115948</v>
      </c>
      <c r="J76" s="7">
        <f>-J174</f>
        <v>-140000</v>
      </c>
      <c r="K76" s="7">
        <f>-K174</f>
        <v>-155000</v>
      </c>
      <c r="L76" s="7">
        <f>-L174</f>
        <v>-170000</v>
      </c>
      <c r="M76" s="7">
        <f>-M174</f>
        <v>-185000</v>
      </c>
      <c r="N76" s="7">
        <f>-N174</f>
        <v>-200000</v>
      </c>
    </row>
    <row r="77" spans="2:14" x14ac:dyDescent="0.35">
      <c r="B77" s="1" t="s">
        <v>70</v>
      </c>
      <c r="D77" s="87"/>
      <c r="E77" s="88">
        <v>-22038</v>
      </c>
      <c r="F77" s="88">
        <v>-1670</v>
      </c>
      <c r="G77" s="88">
        <v>-69132</v>
      </c>
      <c r="H77" s="88">
        <v>-5978</v>
      </c>
      <c r="I77" s="204">
        <v>-1743</v>
      </c>
      <c r="J77" s="88">
        <v>0</v>
      </c>
      <c r="K77" s="88">
        <v>0</v>
      </c>
      <c r="L77" s="88">
        <v>0</v>
      </c>
      <c r="M77" s="88">
        <v>0</v>
      </c>
      <c r="N77" s="88">
        <v>0</v>
      </c>
    </row>
    <row r="78" spans="2:14" x14ac:dyDescent="0.35">
      <c r="B78" s="78" t="s">
        <v>71</v>
      </c>
      <c r="D78" s="87"/>
      <c r="E78" s="88">
        <v>18438</v>
      </c>
      <c r="F78" s="88">
        <v>10213</v>
      </c>
      <c r="G78" s="88">
        <v>17937</v>
      </c>
      <c r="H78" s="88">
        <v>-4387</v>
      </c>
      <c r="I78" s="88">
        <v>-1948</v>
      </c>
      <c r="J78" s="101">
        <f>-((J92-I92)+(J100-I100))</f>
        <v>-2778.096000000005</v>
      </c>
      <c r="K78" s="101">
        <f>-((K92-J92)+(K100-J100))</f>
        <v>-10721.125199999995</v>
      </c>
      <c r="L78" s="101">
        <f>-((L92-K92)+(L100-K100))</f>
        <v>-11617.952084700009</v>
      </c>
      <c r="M78" s="101">
        <f>-((M92-L92)+(M100-L100))</f>
        <v>-12440.077264453495</v>
      </c>
      <c r="N78" s="101">
        <f>-((N92-M92)+(N100-M100))</f>
        <v>-12756.665131212649</v>
      </c>
    </row>
    <row r="79" spans="2:14" x14ac:dyDescent="0.35">
      <c r="B79" s="1" t="s">
        <v>66</v>
      </c>
      <c r="D79" s="87"/>
      <c r="E79" s="88">
        <v>-2825</v>
      </c>
      <c r="F79" s="88">
        <v>-3116</v>
      </c>
      <c r="G79" s="88">
        <v>-1298</v>
      </c>
      <c r="H79" s="88">
        <v>2317</v>
      </c>
      <c r="I79" s="204">
        <v>-19861</v>
      </c>
      <c r="J79" s="88">
        <v>0</v>
      </c>
      <c r="K79" s="88">
        <v>0</v>
      </c>
      <c r="L79" s="88">
        <v>0</v>
      </c>
      <c r="M79" s="88">
        <v>0</v>
      </c>
      <c r="N79" s="88">
        <v>0</v>
      </c>
    </row>
    <row r="80" spans="2:14" x14ac:dyDescent="0.35">
      <c r="B80" s="79" t="s">
        <v>72</v>
      </c>
      <c r="C80" s="194"/>
      <c r="D80" s="210"/>
      <c r="E80" s="8">
        <f t="shared" ref="E80:N80" si="15">IF(COUNT(E76:E79)=0,"",SUM(E76:E79))</f>
        <v>-30311</v>
      </c>
      <c r="F80" s="8">
        <f t="shared" si="15"/>
        <v>-22680</v>
      </c>
      <c r="G80" s="8">
        <f t="shared" si="15"/>
        <v>-96970</v>
      </c>
      <c r="H80" s="8">
        <f t="shared" si="15"/>
        <v>-72599</v>
      </c>
      <c r="I80" s="9">
        <f t="shared" si="15"/>
        <v>-139500</v>
      </c>
      <c r="J80" s="10">
        <f t="shared" si="15"/>
        <v>-142778.09600000002</v>
      </c>
      <c r="K80" s="10">
        <f t="shared" si="15"/>
        <v>-165721.12520000001</v>
      </c>
      <c r="L80" s="10">
        <f t="shared" si="15"/>
        <v>-181617.95208469999</v>
      </c>
      <c r="M80" s="10">
        <f t="shared" si="15"/>
        <v>-197440.07726445349</v>
      </c>
      <c r="N80" s="10">
        <f t="shared" si="15"/>
        <v>-212756.66513121265</v>
      </c>
    </row>
    <row r="81" spans="2:14" x14ac:dyDescent="0.35">
      <c r="B81" t="s">
        <v>73</v>
      </c>
      <c r="D81" s="87"/>
      <c r="E81" s="88">
        <v>-141</v>
      </c>
      <c r="F81" s="88">
        <v>-194</v>
      </c>
      <c r="G81" s="88">
        <v>-210</v>
      </c>
      <c r="H81" s="88">
        <v>63</v>
      </c>
      <c r="I81" s="204">
        <v>-196</v>
      </c>
      <c r="J81" s="88">
        <v>0</v>
      </c>
      <c r="K81" s="88">
        <v>0</v>
      </c>
      <c r="L81" s="88">
        <v>0</v>
      </c>
      <c r="M81" s="88">
        <v>0</v>
      </c>
      <c r="N81" s="88">
        <v>0</v>
      </c>
    </row>
    <row r="82" spans="2:14" x14ac:dyDescent="0.35">
      <c r="B82" s="79" t="s">
        <v>74</v>
      </c>
      <c r="C82" s="194"/>
      <c r="D82" s="210"/>
      <c r="E82" s="8">
        <f>SUM(E68,E74,E80,E81)</f>
        <v>-293</v>
      </c>
      <c r="F82" s="8">
        <f>SUM(F68,F74,F80,F81)</f>
        <v>20773</v>
      </c>
      <c r="G82" s="8">
        <f>SUM(G68,G74,G80,G81)</f>
        <v>-16389</v>
      </c>
      <c r="H82" s="8">
        <f>SUM(H68,H74,H80,H81)</f>
        <v>11927</v>
      </c>
      <c r="I82" s="8">
        <f>SUM(I68,I74,I80,I81)</f>
        <v>-9307</v>
      </c>
      <c r="J82" s="10">
        <f>IF(COUNT(J68,J74,J80,J81)=0,"",SUM(J68,J74,J80,J81))</f>
        <v>21053.942481199396</v>
      </c>
      <c r="K82" s="10">
        <f>IF(COUNT(K68,K74,K80,K81)=0,"",SUM(K68,K74,K80,K81))</f>
        <v>34127.337852941011</v>
      </c>
      <c r="L82" s="10">
        <f>IF(COUNT(L68,L74,L80,L81)=0,"",SUM(L68,L74,L80,L81))</f>
        <v>60836.973840563034</v>
      </c>
      <c r="M82" s="10">
        <f>IF(COUNT(M68,M74,M80,M81)=0,"",SUM(M68,M74,M80,M81))</f>
        <v>84538.094870890753</v>
      </c>
      <c r="N82" s="10">
        <f>IF(COUNT(N68,N74,N80,N81)=0,"",SUM(N68,N74,N80,N81))</f>
        <v>115512.34759516505</v>
      </c>
    </row>
    <row r="83" spans="2:14" x14ac:dyDescent="0.35">
      <c r="B83" t="s">
        <v>75</v>
      </c>
      <c r="D83" s="87"/>
      <c r="E83" s="88">
        <v>14224</v>
      </c>
      <c r="F83" s="88">
        <v>13931</v>
      </c>
      <c r="G83" s="88">
        <v>34704</v>
      </c>
      <c r="H83" s="88">
        <v>18315</v>
      </c>
      <c r="I83" s="204">
        <v>30242</v>
      </c>
      <c r="J83" s="7">
        <f>I84</f>
        <v>20935</v>
      </c>
      <c r="K83" s="7">
        <f>J84</f>
        <v>41988.942481199396</v>
      </c>
      <c r="L83" s="7">
        <f>K84</f>
        <v>76116.280334140407</v>
      </c>
      <c r="M83" s="7">
        <f>L84</f>
        <v>136953.25417470344</v>
      </c>
      <c r="N83" s="7">
        <f>M84</f>
        <v>221491.34904559419</v>
      </c>
    </row>
    <row r="84" spans="2:14" x14ac:dyDescent="0.35">
      <c r="B84" s="79" t="s">
        <v>76</v>
      </c>
      <c r="C84" s="194"/>
      <c r="D84" s="210"/>
      <c r="E84" s="8">
        <f>E91</f>
        <v>13931</v>
      </c>
      <c r="F84" s="8">
        <f>SUM(F82:F83)</f>
        <v>34704</v>
      </c>
      <c r="G84" s="8">
        <f>SUM(G82:G83)</f>
        <v>18315</v>
      </c>
      <c r="H84" s="8">
        <f>SUM(H82:H83)</f>
        <v>30242</v>
      </c>
      <c r="I84" s="8">
        <f>SUM(I82:I83)</f>
        <v>20935</v>
      </c>
      <c r="J84" s="10">
        <f>IF(COUNT(J82:J83)=0,"",SUM(J82:J83))</f>
        <v>41988.942481199396</v>
      </c>
      <c r="K84" s="10">
        <f>IF(COUNT(K82:K83)=0,"",SUM(K82:K83))</f>
        <v>76116.280334140407</v>
      </c>
      <c r="L84" s="10">
        <f>IF(COUNT(L82:L83)=0,"",SUM(L82:L83))</f>
        <v>136953.25417470344</v>
      </c>
      <c r="M84" s="10">
        <f>IF(COUNT(M82:M83)=0,"",SUM(M82:M83))</f>
        <v>221491.34904559419</v>
      </c>
      <c r="N84" s="10">
        <f>IF(COUNT(N82:N83)=0,"",SUM(N82:N83))</f>
        <v>337003.69664075924</v>
      </c>
    </row>
    <row r="87" spans="2:14" x14ac:dyDescent="0.35">
      <c r="B87" s="56" t="s">
        <v>78</v>
      </c>
      <c r="E87" s="57" t="s">
        <v>3</v>
      </c>
      <c r="F87" s="58"/>
      <c r="G87" s="58"/>
      <c r="H87" s="58"/>
      <c r="I87" s="57" t="s">
        <v>1113</v>
      </c>
      <c r="J87" s="59"/>
      <c r="K87" s="59"/>
      <c r="L87" s="59"/>
      <c r="M87" s="59"/>
      <c r="N87" s="59"/>
    </row>
    <row r="88" spans="2:14" x14ac:dyDescent="0.35">
      <c r="B88" s="76" t="s">
        <v>41</v>
      </c>
      <c r="E88" s="62" t="str">
        <f>(2021+COLUMN()-COLUMN($D$7))&amp;IF(COLUMN()-COLUMN($D$7)&lt;5,"A","E")</f>
        <v>2022A</v>
      </c>
      <c r="F88" s="62" t="str">
        <f>(2021+COLUMN()-COLUMN($D$7))&amp;IF(COLUMN()-COLUMN($D$7)&lt;5,"A","E")</f>
        <v>2023A</v>
      </c>
      <c r="G88" s="62" t="str">
        <f>(2021+COLUMN()-COLUMN($D$7))&amp;IF(COLUMN()-COLUMN($D$7)&lt;5,"A","E")</f>
        <v>2024A</v>
      </c>
      <c r="H88" s="62" t="str">
        <f>(2021+COLUMN()-COLUMN($D$7))&amp;IF(COLUMN()-COLUMN($D$7)&lt;5,"A","E")</f>
        <v>2025A</v>
      </c>
      <c r="I88" s="77" t="s">
        <v>5</v>
      </c>
      <c r="J88" s="63" t="str">
        <f>(2021+COLUMN()-COLUMN($D$7))&amp;IF(COLUMN()-COLUMN($D$7)&lt;5,"A","E")</f>
        <v>2027E</v>
      </c>
      <c r="K88" s="63" t="str">
        <f>(2021+COLUMN()-COLUMN($D$7))&amp;IF(COLUMN()-COLUMN($D$7)&lt;5,"A","E")</f>
        <v>2028E</v>
      </c>
      <c r="L88" s="63" t="str">
        <f>(2021+COLUMN()-COLUMN($D$7))&amp;IF(COLUMN()-COLUMN($D$7)&lt;5,"A","E")</f>
        <v>2029E</v>
      </c>
      <c r="M88" s="63" t="str">
        <f>(2021+COLUMN()-COLUMN($D$7))&amp;IF(COLUMN()-COLUMN($D$7)&lt;5,"A","E")</f>
        <v>2030E</v>
      </c>
      <c r="N88" s="63" t="str">
        <f>(2021+COLUMN()-COLUMN($D$7))&amp;IF(COLUMN()-COLUMN($D$7)&lt;5,"A","E")</f>
        <v>2031E</v>
      </c>
    </row>
    <row r="89" spans="2:14" x14ac:dyDescent="0.35">
      <c r="B89" s="65" t="s">
        <v>79</v>
      </c>
    </row>
    <row r="90" spans="2:14" x14ac:dyDescent="0.35">
      <c r="B90" s="1" t="s">
        <v>80</v>
      </c>
    </row>
    <row r="91" spans="2:14" x14ac:dyDescent="0.35">
      <c r="B91" s="1" t="s">
        <v>81</v>
      </c>
      <c r="D91" s="87"/>
      <c r="E91" s="88">
        <v>13931</v>
      </c>
      <c r="F91" s="88">
        <v>34704</v>
      </c>
      <c r="G91" s="88">
        <v>18315</v>
      </c>
      <c r="H91" s="88">
        <v>30242</v>
      </c>
      <c r="I91" s="204">
        <v>20935</v>
      </c>
      <c r="J91" s="7">
        <f>J84</f>
        <v>41988.942481199396</v>
      </c>
      <c r="K91" s="7">
        <f>K84</f>
        <v>76116.280334140407</v>
      </c>
      <c r="L91" s="7">
        <f>L84</f>
        <v>136953.25417470344</v>
      </c>
      <c r="M91" s="7">
        <f>M84</f>
        <v>221491.34904559419</v>
      </c>
      <c r="N91" s="7">
        <f>N84</f>
        <v>337003.69664075924</v>
      </c>
    </row>
    <row r="92" spans="2:14" x14ac:dyDescent="0.35">
      <c r="B92" s="1" t="s">
        <v>82</v>
      </c>
      <c r="D92" s="87"/>
      <c r="E92" s="88">
        <v>90826</v>
      </c>
      <c r="F92" s="88">
        <v>76558</v>
      </c>
      <c r="G92" s="88">
        <v>57228</v>
      </c>
      <c r="H92" s="88">
        <v>64323</v>
      </c>
      <c r="I92" s="204">
        <v>55908</v>
      </c>
      <c r="J92" s="41">
        <f>J9*Assumptions!$H$101</f>
        <v>58504.356000000007</v>
      </c>
      <c r="K92" s="41">
        <f>K9*Assumptions!$H$101</f>
        <v>69042.832500000004</v>
      </c>
      <c r="L92" s="41">
        <f>L9*Assumptions!$H$101</f>
        <v>80477.222641200016</v>
      </c>
      <c r="M92" s="41">
        <f>M9*Assumptions!$H$101</f>
        <v>92732.820152436019</v>
      </c>
      <c r="N92" s="41">
        <f>N9*Assumptions!$H$101</f>
        <v>105304.08313166509</v>
      </c>
    </row>
    <row r="93" spans="2:14" ht="15" thickBot="1" x14ac:dyDescent="0.4">
      <c r="B93" s="55" t="s">
        <v>340</v>
      </c>
      <c r="D93" s="95"/>
      <c r="E93" s="96">
        <f t="shared" ref="E93:N93" si="16">SUM(E91:E92)</f>
        <v>104757</v>
      </c>
      <c r="F93" s="96">
        <f t="shared" si="16"/>
        <v>111262</v>
      </c>
      <c r="G93" s="96">
        <f t="shared" si="16"/>
        <v>75543</v>
      </c>
      <c r="H93" s="96">
        <f t="shared" si="16"/>
        <v>94565</v>
      </c>
      <c r="I93" s="96">
        <f t="shared" si="16"/>
        <v>76843</v>
      </c>
      <c r="J93" s="96">
        <f t="shared" si="16"/>
        <v>100493.2984811994</v>
      </c>
      <c r="K93" s="96">
        <f t="shared" si="16"/>
        <v>145159.11283414043</v>
      </c>
      <c r="L93" s="96">
        <f t="shared" si="16"/>
        <v>217430.47681590344</v>
      </c>
      <c r="M93" s="96">
        <f t="shared" si="16"/>
        <v>314224.1691980302</v>
      </c>
      <c r="N93" s="96">
        <f t="shared" si="16"/>
        <v>442307.77977242431</v>
      </c>
    </row>
    <row r="94" spans="2:14" x14ac:dyDescent="0.35">
      <c r="B94" s="82" t="s">
        <v>50</v>
      </c>
      <c r="D94" s="87"/>
      <c r="E94" s="88">
        <v>44261</v>
      </c>
      <c r="F94" s="88">
        <v>48688</v>
      </c>
      <c r="G94" s="88">
        <v>56924</v>
      </c>
      <c r="H94" s="88">
        <v>69905</v>
      </c>
      <c r="I94" s="204">
        <v>80876</v>
      </c>
      <c r="J94" s="7">
        <f t="shared" ref="J94:N95" si="17">J201</f>
        <v>95102.971397260277</v>
      </c>
      <c r="K94" s="7">
        <f t="shared" si="17"/>
        <v>112234.01082191782</v>
      </c>
      <c r="L94" s="7">
        <f t="shared" si="17"/>
        <v>129351.517669874</v>
      </c>
      <c r="M94" s="7">
        <f t="shared" si="17"/>
        <v>149050.01229980585</v>
      </c>
      <c r="N94" s="7">
        <f t="shared" si="17"/>
        <v>167332.51566127603</v>
      </c>
    </row>
    <row r="95" spans="2:14" x14ac:dyDescent="0.35">
      <c r="B95" s="1" t="s">
        <v>51</v>
      </c>
      <c r="D95" s="87"/>
      <c r="E95" s="88">
        <v>3742</v>
      </c>
      <c r="F95" s="88">
        <v>2500</v>
      </c>
      <c r="G95" s="88">
        <v>1246</v>
      </c>
      <c r="H95" s="88">
        <v>938</v>
      </c>
      <c r="I95" s="204">
        <v>1397</v>
      </c>
      <c r="J95" s="7">
        <f t="shared" si="17"/>
        <v>1837.9450652054795</v>
      </c>
      <c r="K95" s="7">
        <f t="shared" si="17"/>
        <v>2169.016838356164</v>
      </c>
      <c r="L95" s="7">
        <f t="shared" si="17"/>
        <v>2513.5351729032336</v>
      </c>
      <c r="M95" s="7">
        <f t="shared" si="17"/>
        <v>2879.3752376098855</v>
      </c>
      <c r="N95" s="7">
        <f t="shared" si="17"/>
        <v>3250.4822007765115</v>
      </c>
    </row>
    <row r="96" spans="2:14" x14ac:dyDescent="0.35">
      <c r="B96" s="1" t="s">
        <v>52</v>
      </c>
      <c r="D96" s="87"/>
      <c r="E96" s="88">
        <v>16924</v>
      </c>
      <c r="F96" s="88">
        <v>21807</v>
      </c>
      <c r="G96" s="88">
        <v>26021</v>
      </c>
      <c r="H96" s="88">
        <v>25723</v>
      </c>
      <c r="I96" s="204">
        <v>48594</v>
      </c>
      <c r="J96" s="7">
        <f>I96</f>
        <v>48594</v>
      </c>
      <c r="K96" s="7">
        <f>J96</f>
        <v>48594</v>
      </c>
      <c r="L96" s="7">
        <f>K96</f>
        <v>48594</v>
      </c>
      <c r="M96" s="7">
        <f>L96</f>
        <v>48594</v>
      </c>
      <c r="N96" s="7">
        <f>M96</f>
        <v>48594</v>
      </c>
    </row>
    <row r="97" spans="2:14" x14ac:dyDescent="0.35">
      <c r="B97" s="83" t="s">
        <v>83</v>
      </c>
      <c r="C97" s="194"/>
      <c r="D97" s="210"/>
      <c r="E97" s="8">
        <f t="shared" ref="E97:N97" si="18">SUM(E93:E96)</f>
        <v>169684</v>
      </c>
      <c r="F97" s="8">
        <f t="shared" si="18"/>
        <v>184257</v>
      </c>
      <c r="G97" s="8">
        <f t="shared" si="18"/>
        <v>159734</v>
      </c>
      <c r="H97" s="8">
        <f t="shared" si="18"/>
        <v>191131</v>
      </c>
      <c r="I97" s="8">
        <f t="shared" si="18"/>
        <v>207710</v>
      </c>
      <c r="J97" s="8">
        <f t="shared" si="18"/>
        <v>246028.21494366517</v>
      </c>
      <c r="K97" s="8">
        <f t="shared" si="18"/>
        <v>308156.14049441437</v>
      </c>
      <c r="L97" s="8">
        <f t="shared" si="18"/>
        <v>397889.52965868067</v>
      </c>
      <c r="M97" s="8">
        <f t="shared" si="18"/>
        <v>514747.55673544592</v>
      </c>
      <c r="N97" s="8">
        <f t="shared" si="18"/>
        <v>661484.77763447678</v>
      </c>
    </row>
    <row r="98" spans="2:14" x14ac:dyDescent="0.35">
      <c r="B98" s="82" t="s">
        <v>84</v>
      </c>
      <c r="D98" s="87"/>
      <c r="E98" s="88">
        <v>74398</v>
      </c>
      <c r="F98" s="88">
        <v>95641</v>
      </c>
      <c r="G98" s="88">
        <v>135591</v>
      </c>
      <c r="H98" s="88">
        <v>204966</v>
      </c>
      <c r="I98" s="204">
        <v>313076</v>
      </c>
      <c r="J98" s="7">
        <f>J184</f>
        <v>417301.12</v>
      </c>
      <c r="K98" s="7">
        <f>K184</f>
        <v>522001.97440000001</v>
      </c>
      <c r="L98" s="7">
        <f>L184</f>
        <v>627116.71772800002</v>
      </c>
      <c r="M98" s="7">
        <f>M184</f>
        <v>732591.54442336003</v>
      </c>
      <c r="N98" s="7">
        <f>N184</f>
        <v>838379.64364832325</v>
      </c>
    </row>
    <row r="99" spans="2:14" x14ac:dyDescent="0.35">
      <c r="B99" s="1" t="s">
        <v>85</v>
      </c>
      <c r="D99" s="87"/>
      <c r="E99" s="88">
        <v>13148</v>
      </c>
      <c r="F99" s="88">
        <v>14346</v>
      </c>
      <c r="G99" s="88">
        <v>18961</v>
      </c>
      <c r="H99" s="88">
        <v>24823</v>
      </c>
      <c r="I99" s="204">
        <v>24177</v>
      </c>
      <c r="J99" s="7">
        <f>J273</f>
        <v>31256.5276122449</v>
      </c>
      <c r="K99" s="7">
        <f>K273</f>
        <v>36609.637636872554</v>
      </c>
      <c r="L99" s="7">
        <f>L273</f>
        <v>40669.072932299692</v>
      </c>
      <c r="M99" s="7">
        <f>M273</f>
        <v>43759.143438660081</v>
      </c>
      <c r="N99" s="7">
        <f>N273</f>
        <v>46122.89647022073</v>
      </c>
    </row>
    <row r="100" spans="2:14" x14ac:dyDescent="0.35">
      <c r="B100" s="1" t="s">
        <v>86</v>
      </c>
      <c r="D100" s="87"/>
      <c r="E100" s="88">
        <v>6891</v>
      </c>
      <c r="F100" s="88">
        <v>9879</v>
      </c>
      <c r="G100" s="88">
        <v>14600</v>
      </c>
      <c r="H100" s="88">
        <v>15405</v>
      </c>
      <c r="I100" s="204">
        <v>36348</v>
      </c>
      <c r="J100" s="41">
        <f>I100*(1+Assumptions!$H$98)</f>
        <v>36529.74</v>
      </c>
      <c r="K100" s="41">
        <f>J100*(1+Assumptions!$H$98)</f>
        <v>36712.388699999996</v>
      </c>
      <c r="L100" s="41">
        <f>K100*(1+Assumptions!$H$98)</f>
        <v>36895.950643499993</v>
      </c>
      <c r="M100" s="41">
        <f>L100*(1+Assumptions!$H$98)</f>
        <v>37080.430396717486</v>
      </c>
      <c r="N100" s="41">
        <f>M100*(1+Assumptions!$H$98)</f>
        <v>37265.832548701066</v>
      </c>
    </row>
    <row r="101" spans="2:14" ht="37.5" x14ac:dyDescent="0.35">
      <c r="B101" s="84" t="s">
        <v>598</v>
      </c>
      <c r="D101" s="87"/>
      <c r="E101" s="88">
        <v>78822</v>
      </c>
      <c r="F101" s="88">
        <v>77252</v>
      </c>
      <c r="G101" s="88">
        <v>146817</v>
      </c>
      <c r="H101" s="88">
        <v>142113</v>
      </c>
      <c r="I101" s="88">
        <v>138260</v>
      </c>
      <c r="J101" s="41">
        <f>I101-Assumptions!E124</f>
        <v>135328</v>
      </c>
      <c r="K101" s="41">
        <f>J101-Assumptions!F124</f>
        <v>133290</v>
      </c>
      <c r="L101" s="41">
        <f>K101-Assumptions!G124</f>
        <v>131437</v>
      </c>
      <c r="M101" s="41">
        <f>L101-Assumptions!H124</f>
        <v>130052</v>
      </c>
      <c r="N101" s="41">
        <f>M101-Assumptions!I124</f>
        <v>128667</v>
      </c>
    </row>
    <row r="102" spans="2:14" x14ac:dyDescent="0.35">
      <c r="B102" s="1" t="s">
        <v>53</v>
      </c>
      <c r="D102" s="87"/>
      <c r="E102" s="88">
        <v>21897</v>
      </c>
      <c r="F102" s="88">
        <v>30601</v>
      </c>
      <c r="G102" s="88">
        <v>36460</v>
      </c>
      <c r="H102" s="88">
        <v>40565</v>
      </c>
      <c r="I102" s="204">
        <v>38805</v>
      </c>
      <c r="J102" s="7">
        <f t="shared" ref="J102:N102" si="19">I102</f>
        <v>38805</v>
      </c>
      <c r="K102" s="7">
        <f t="shared" si="19"/>
        <v>38805</v>
      </c>
      <c r="L102" s="7">
        <f t="shared" si="19"/>
        <v>38805</v>
      </c>
      <c r="M102" s="7">
        <f t="shared" si="19"/>
        <v>38805</v>
      </c>
      <c r="N102" s="7">
        <f t="shared" si="19"/>
        <v>38805</v>
      </c>
    </row>
    <row r="103" spans="2:14" ht="15" thickBot="1" x14ac:dyDescent="0.4">
      <c r="B103" s="85" t="s">
        <v>88</v>
      </c>
      <c r="C103" s="193"/>
      <c r="D103" s="209"/>
      <c r="E103" s="11">
        <f t="shared" ref="E103:N103" si="20">IF(COUNT(E97:E102)=0,"",SUM(E97:E102))</f>
        <v>364840</v>
      </c>
      <c r="F103" s="11">
        <f t="shared" si="20"/>
        <v>411976</v>
      </c>
      <c r="G103" s="11">
        <f t="shared" si="20"/>
        <v>512163</v>
      </c>
      <c r="H103" s="11">
        <f t="shared" si="20"/>
        <v>619003</v>
      </c>
      <c r="I103" s="12">
        <f t="shared" si="20"/>
        <v>758376</v>
      </c>
      <c r="J103" s="13">
        <f t="shared" si="20"/>
        <v>905248.60255591013</v>
      </c>
      <c r="K103" s="13">
        <f t="shared" si="20"/>
        <v>1075575.1412312868</v>
      </c>
      <c r="L103" s="13">
        <f t="shared" si="20"/>
        <v>1272813.2709624805</v>
      </c>
      <c r="M103" s="13">
        <f t="shared" si="20"/>
        <v>1497035.6749941835</v>
      </c>
      <c r="N103" s="13">
        <f t="shared" si="20"/>
        <v>1750725.1503017216</v>
      </c>
    </row>
    <row r="104" spans="2:14" x14ac:dyDescent="0.35">
      <c r="B104" s="65" t="s">
        <v>89</v>
      </c>
      <c r="E104" s="2"/>
      <c r="F104" s="2"/>
      <c r="G104" s="2"/>
      <c r="H104" s="3"/>
      <c r="I104" s="3"/>
    </row>
    <row r="105" spans="2:14" x14ac:dyDescent="0.35">
      <c r="B105" s="1" t="s">
        <v>90</v>
      </c>
      <c r="E105" s="2"/>
      <c r="F105" s="2"/>
      <c r="G105" s="2"/>
      <c r="H105" s="3"/>
      <c r="I105" s="3"/>
    </row>
    <row r="106" spans="2:14" x14ac:dyDescent="0.35">
      <c r="B106" s="1" t="s">
        <v>55</v>
      </c>
      <c r="D106" s="87"/>
      <c r="E106" s="88">
        <v>19000</v>
      </c>
      <c r="F106" s="88">
        <v>18095</v>
      </c>
      <c r="G106" s="88">
        <v>21996</v>
      </c>
      <c r="H106" s="88">
        <v>27724</v>
      </c>
      <c r="I106" s="204">
        <v>42416</v>
      </c>
      <c r="J106" s="7">
        <f>J203</f>
        <v>51462.461825753424</v>
      </c>
      <c r="K106" s="7">
        <f>K203</f>
        <v>58563.454635616443</v>
      </c>
      <c r="L106" s="7">
        <f>L203</f>
        <v>65351.914495484059</v>
      </c>
      <c r="M106" s="7">
        <f>M203</f>
        <v>71984.380940247138</v>
      </c>
      <c r="N106" s="7">
        <f>N203</f>
        <v>78011.572818636268</v>
      </c>
    </row>
    <row r="107" spans="2:14" x14ac:dyDescent="0.35">
      <c r="B107" s="1" t="s">
        <v>91</v>
      </c>
      <c r="D107" s="87"/>
      <c r="E107" s="88">
        <v>0</v>
      </c>
      <c r="F107" s="88">
        <v>0</v>
      </c>
      <c r="G107" s="88">
        <v>6693</v>
      </c>
      <c r="H107" s="88">
        <v>0</v>
      </c>
      <c r="I107" s="204">
        <v>0</v>
      </c>
      <c r="J107" s="88">
        <v>0</v>
      </c>
      <c r="K107" s="88">
        <v>0</v>
      </c>
      <c r="L107" s="88">
        <v>0</v>
      </c>
      <c r="M107" s="88">
        <v>0</v>
      </c>
      <c r="N107" s="88">
        <v>0</v>
      </c>
    </row>
    <row r="108" spans="2:14" x14ac:dyDescent="0.35">
      <c r="B108" s="1" t="s">
        <v>92</v>
      </c>
      <c r="D108" s="87"/>
      <c r="E108" s="88">
        <v>2749</v>
      </c>
      <c r="F108" s="88">
        <v>5247</v>
      </c>
      <c r="G108" s="88">
        <v>2249</v>
      </c>
      <c r="H108" s="88">
        <v>2999</v>
      </c>
      <c r="I108" s="204">
        <v>9227</v>
      </c>
      <c r="J108" s="7">
        <f>J222</f>
        <v>3000</v>
      </c>
      <c r="K108" s="7">
        <f>K222</f>
        <v>1300</v>
      </c>
      <c r="L108" s="7">
        <f>L222</f>
        <v>2300</v>
      </c>
      <c r="M108" s="7">
        <f>M222</f>
        <v>2000</v>
      </c>
      <c r="N108" s="7">
        <f>N222</f>
        <v>0</v>
      </c>
    </row>
    <row r="109" spans="2:14" x14ac:dyDescent="0.35">
      <c r="B109" s="1" t="s">
        <v>93</v>
      </c>
      <c r="D109" s="87"/>
      <c r="E109" s="88">
        <v>10661</v>
      </c>
      <c r="F109" s="88">
        <v>11009</v>
      </c>
      <c r="G109" s="88">
        <v>12564</v>
      </c>
      <c r="H109" s="88">
        <v>13709</v>
      </c>
      <c r="I109" s="204">
        <v>14945</v>
      </c>
      <c r="J109" s="7">
        <f t="shared" ref="J109:N110" si="21">J$9*($I109/$I$9)</f>
        <v>17565.699037183695</v>
      </c>
      <c r="K109" s="7">
        <f t="shared" si="21"/>
        <v>20729.834482233855</v>
      </c>
      <c r="L109" s="7">
        <f t="shared" si="21"/>
        <v>24162.964416935807</v>
      </c>
      <c r="M109" s="7">
        <f t="shared" si="21"/>
        <v>27842.658581986168</v>
      </c>
      <c r="N109" s="7">
        <f t="shared" si="21"/>
        <v>31617.130042033132</v>
      </c>
    </row>
    <row r="110" spans="2:14" x14ac:dyDescent="0.35">
      <c r="B110" s="1" t="s">
        <v>94</v>
      </c>
      <c r="D110" s="87"/>
      <c r="E110" s="88">
        <v>4067</v>
      </c>
      <c r="F110" s="88">
        <v>4152</v>
      </c>
      <c r="G110" s="88">
        <v>5017</v>
      </c>
      <c r="H110" s="88">
        <v>7211</v>
      </c>
      <c r="I110" s="204">
        <v>2534</v>
      </c>
      <c r="J110" s="7">
        <f t="shared" si="21"/>
        <v>2978.3527173117086</v>
      </c>
      <c r="K110" s="7">
        <f t="shared" si="21"/>
        <v>3514.8478138494879</v>
      </c>
      <c r="L110" s="7">
        <f t="shared" si="21"/>
        <v>4096.952280529631</v>
      </c>
      <c r="M110" s="7">
        <f t="shared" si="21"/>
        <v>4720.8629539480071</v>
      </c>
      <c r="N110" s="7">
        <f t="shared" si="21"/>
        <v>5360.8435949489431</v>
      </c>
    </row>
    <row r="111" spans="2:14" x14ac:dyDescent="0.35">
      <c r="B111" s="1" t="s">
        <v>95</v>
      </c>
      <c r="D111" s="87"/>
      <c r="E111" s="88">
        <v>45538</v>
      </c>
      <c r="F111" s="88">
        <v>50901</v>
      </c>
      <c r="G111" s="88">
        <v>57582</v>
      </c>
      <c r="H111" s="88">
        <v>64555</v>
      </c>
      <c r="I111" s="204">
        <v>72965</v>
      </c>
      <c r="J111" s="7">
        <f>J206*0.96</f>
        <v>82374.133248000013</v>
      </c>
      <c r="K111" s="7">
        <f>K206*0.96</f>
        <v>97212.30816</v>
      </c>
      <c r="L111" s="7">
        <f>L206*0.96</f>
        <v>113311.92947880963</v>
      </c>
      <c r="M111" s="7">
        <f>M206*0.96</f>
        <v>130567.81077462991</v>
      </c>
      <c r="N111" s="7">
        <f>N206*0.96</f>
        <v>148268.14904938446</v>
      </c>
    </row>
    <row r="112" spans="2:14" x14ac:dyDescent="0.35">
      <c r="B112" s="1" t="s">
        <v>58</v>
      </c>
      <c r="D112" s="87"/>
      <c r="E112" s="88">
        <v>13067</v>
      </c>
      <c r="F112" s="88">
        <v>14745</v>
      </c>
      <c r="G112" s="88">
        <v>19185</v>
      </c>
      <c r="H112" s="88">
        <v>25020</v>
      </c>
      <c r="I112" s="204">
        <v>26738</v>
      </c>
      <c r="J112" s="41">
        <f>J$9*(($I112-Assumptions!$L$94-Assumptions!$L$95)/$I$9)</f>
        <v>20045.700707873399</v>
      </c>
      <c r="K112" s="41">
        <f>K$9*(($I112-Assumptions!$L$94-Assumptions!$L$95)/$I$9)</f>
        <v>23656.562535597084</v>
      </c>
      <c r="L112" s="41">
        <f>L$9*(($I112-Assumptions!$L$94-Assumptions!$L$95)/$I$9)</f>
        <v>27574.39666315425</v>
      </c>
      <c r="M112" s="41">
        <f>M$9*(($I112-Assumptions!$L$94-Assumptions!$L$95)/$I$9)</f>
        <v>31773.606029827646</v>
      </c>
      <c r="N112" s="41">
        <f>N$9*(($I112-Assumptions!$L$94-Assumptions!$L$95)/$I$9)</f>
        <v>36080.973761584144</v>
      </c>
    </row>
    <row r="113" spans="2:14" x14ac:dyDescent="0.35">
      <c r="B113" s="83" t="s">
        <v>96</v>
      </c>
      <c r="C113" s="194"/>
      <c r="D113" s="210"/>
      <c r="E113" s="8">
        <f t="shared" ref="E113:N113" si="22">IF(COUNT(E106:E112)=0,"",SUM(E106:E112))</f>
        <v>95082</v>
      </c>
      <c r="F113" s="8">
        <f t="shared" si="22"/>
        <v>104149</v>
      </c>
      <c r="G113" s="8">
        <f t="shared" si="22"/>
        <v>125286</v>
      </c>
      <c r="H113" s="8">
        <f t="shared" si="22"/>
        <v>141218</v>
      </c>
      <c r="I113" s="9">
        <f t="shared" si="22"/>
        <v>168825</v>
      </c>
      <c r="J113" s="10">
        <f t="shared" si="22"/>
        <v>177426.34753612222</v>
      </c>
      <c r="K113" s="10">
        <f t="shared" si="22"/>
        <v>204977.00762729684</v>
      </c>
      <c r="L113" s="10">
        <f t="shared" si="22"/>
        <v>236798.15733491338</v>
      </c>
      <c r="M113" s="10">
        <f t="shared" si="22"/>
        <v>268889.31928063888</v>
      </c>
      <c r="N113" s="10">
        <f t="shared" si="22"/>
        <v>299338.66926658695</v>
      </c>
    </row>
    <row r="114" spans="2:14" x14ac:dyDescent="0.35">
      <c r="B114" s="1" t="s">
        <v>97</v>
      </c>
      <c r="D114" s="87"/>
      <c r="E114" s="88">
        <v>47032</v>
      </c>
      <c r="F114" s="88">
        <v>41990</v>
      </c>
      <c r="G114" s="88">
        <v>42688</v>
      </c>
      <c r="H114" s="88">
        <v>40152</v>
      </c>
      <c r="I114" s="204">
        <v>31067</v>
      </c>
      <c r="J114" s="7">
        <f>J223</f>
        <v>35094</v>
      </c>
      <c r="K114" s="7">
        <f>K223</f>
        <v>33794</v>
      </c>
      <c r="L114" s="7">
        <f>L223</f>
        <v>31494</v>
      </c>
      <c r="M114" s="7">
        <f>M223</f>
        <v>29494</v>
      </c>
      <c r="N114" s="7">
        <f>N223</f>
        <v>29494</v>
      </c>
    </row>
    <row r="115" spans="2:14" x14ac:dyDescent="0.35">
      <c r="B115" s="1" t="s">
        <v>98</v>
      </c>
      <c r="D115" s="87"/>
      <c r="E115" s="88">
        <v>2870</v>
      </c>
      <c r="F115" s="88">
        <v>2912</v>
      </c>
      <c r="G115" s="88">
        <v>2602</v>
      </c>
      <c r="H115" s="88">
        <v>2710</v>
      </c>
      <c r="I115" s="204">
        <v>2747</v>
      </c>
      <c r="J115" s="7">
        <f>J206*0.04</f>
        <v>3432.2555520000005</v>
      </c>
      <c r="K115" s="7">
        <f>K206*0.04</f>
        <v>4050.5128400000003</v>
      </c>
      <c r="L115" s="7">
        <f>L206*0.04</f>
        <v>4721.3303949504016</v>
      </c>
      <c r="M115" s="7">
        <f>M206*0.04</f>
        <v>5440.3254489429137</v>
      </c>
      <c r="N115" s="7">
        <f>N206*0.04</f>
        <v>6177.8395437243526</v>
      </c>
    </row>
    <row r="116" spans="2:14" x14ac:dyDescent="0.35">
      <c r="B116" s="1" t="s">
        <v>99</v>
      </c>
      <c r="D116" s="87"/>
      <c r="E116" s="88">
        <v>26299</v>
      </c>
      <c r="F116" s="88">
        <v>25993</v>
      </c>
      <c r="G116" s="88">
        <v>30549</v>
      </c>
      <c r="H116" s="88">
        <v>28821</v>
      </c>
      <c r="I116" s="88">
        <v>31701</v>
      </c>
      <c r="J116" s="7">
        <f>I116</f>
        <v>31701</v>
      </c>
      <c r="K116" s="7">
        <f>J116</f>
        <v>31701</v>
      </c>
      <c r="L116" s="7">
        <f>K116</f>
        <v>31701</v>
      </c>
      <c r="M116" s="7">
        <f>L116</f>
        <v>31701</v>
      </c>
      <c r="N116" s="7">
        <f>M116</f>
        <v>31701</v>
      </c>
    </row>
    <row r="117" spans="2:14" x14ac:dyDescent="0.35">
      <c r="B117" s="1" t="s">
        <v>501</v>
      </c>
      <c r="D117" s="87"/>
      <c r="E117" s="88">
        <v>11489</v>
      </c>
      <c r="F117" s="88">
        <v>12728</v>
      </c>
      <c r="G117" s="88">
        <v>15497</v>
      </c>
      <c r="H117" s="88">
        <v>17437</v>
      </c>
      <c r="I117" s="204">
        <v>16532</v>
      </c>
      <c r="J117" s="7">
        <f>J279</f>
        <v>29683.320469387756</v>
      </c>
      <c r="K117" s="7">
        <f>K279</f>
        <v>35866.927514277806</v>
      </c>
      <c r="L117" s="7">
        <f>L279</f>
        <v>40871.569330495076</v>
      </c>
      <c r="M117" s="7">
        <f>M279</f>
        <v>44993.834256833317</v>
      </c>
      <c r="N117" s="7">
        <f>N279</f>
        <v>48455.997504936684</v>
      </c>
    </row>
    <row r="118" spans="2:14" x14ac:dyDescent="0.35">
      <c r="B118" s="1" t="s">
        <v>502</v>
      </c>
      <c r="D118" s="87"/>
      <c r="E118" s="88">
        <v>15526</v>
      </c>
      <c r="F118" s="88">
        <v>17981</v>
      </c>
      <c r="G118" s="88">
        <v>27064</v>
      </c>
      <c r="H118" s="88">
        <v>45186</v>
      </c>
      <c r="I118" s="204">
        <v>65117</v>
      </c>
      <c r="J118" s="41">
        <f>($I118-Assumptions!$L$96)+J293</f>
        <v>78857.5</v>
      </c>
      <c r="K118" s="41">
        <f>($I118-Assumptions!$L$96)+K293</f>
        <v>87520.458333333328</v>
      </c>
      <c r="L118" s="41">
        <f>($I118-Assumptions!$L$96)+L293</f>
        <v>95461.503472222219</v>
      </c>
      <c r="M118" s="41">
        <f>($I118-Assumptions!$L$96)+M293</f>
        <v>102740.79484953704</v>
      </c>
      <c r="N118" s="41">
        <f>($I118-Assumptions!$L$96)+N293</f>
        <v>109413.47861207562</v>
      </c>
    </row>
    <row r="119" spans="2:14" x14ac:dyDescent="0.35">
      <c r="B119" s="83" t="s">
        <v>101</v>
      </c>
      <c r="C119" s="194"/>
      <c r="D119" s="210"/>
      <c r="E119" s="8">
        <f t="shared" ref="E119:N119" si="23">IF(COUNT(E113:E118)=0,"",SUM(E113:E118))</f>
        <v>198298</v>
      </c>
      <c r="F119" s="8">
        <f t="shared" si="23"/>
        <v>205753</v>
      </c>
      <c r="G119" s="8">
        <f t="shared" si="23"/>
        <v>243686</v>
      </c>
      <c r="H119" s="8">
        <f t="shared" si="23"/>
        <v>275524</v>
      </c>
      <c r="I119" s="9">
        <f t="shared" si="23"/>
        <v>315989</v>
      </c>
      <c r="J119" s="10">
        <f t="shared" si="23"/>
        <v>356194.42355750996</v>
      </c>
      <c r="K119" s="10">
        <f t="shared" si="23"/>
        <v>397909.90631490794</v>
      </c>
      <c r="L119" s="10">
        <f t="shared" si="23"/>
        <v>441047.56053258106</v>
      </c>
      <c r="M119" s="10">
        <f t="shared" si="23"/>
        <v>483259.2738359521</v>
      </c>
      <c r="N119" s="10">
        <f t="shared" si="23"/>
        <v>524580.98492732365</v>
      </c>
    </row>
    <row r="120" spans="2:14" x14ac:dyDescent="0.35">
      <c r="B120" s="1" t="s">
        <v>102</v>
      </c>
      <c r="E120" s="2"/>
      <c r="F120" s="2"/>
      <c r="G120" s="2"/>
      <c r="H120" s="2"/>
      <c r="I120" s="2"/>
    </row>
    <row r="121" spans="2:14" x14ac:dyDescent="0.35">
      <c r="B121" s="1" t="s">
        <v>103</v>
      </c>
      <c r="E121" s="2"/>
      <c r="F121" s="2"/>
      <c r="G121" s="2"/>
      <c r="H121" s="2"/>
      <c r="I121" s="2"/>
    </row>
    <row r="122" spans="2:14" x14ac:dyDescent="0.35">
      <c r="B122" s="82" t="s">
        <v>104</v>
      </c>
      <c r="D122" s="87"/>
      <c r="E122" s="88">
        <v>86939</v>
      </c>
      <c r="F122" s="88">
        <v>93718</v>
      </c>
      <c r="G122" s="88">
        <v>100923</v>
      </c>
      <c r="H122" s="88">
        <v>109095</v>
      </c>
      <c r="I122" s="204">
        <v>117406</v>
      </c>
      <c r="J122" s="94">
        <f>I122+J255+0.22*J71</f>
        <v>126997.07448000001</v>
      </c>
      <c r="K122" s="94">
        <f>J122+K255+0.22*K71</f>
        <v>138287.35428</v>
      </c>
      <c r="L122" s="94">
        <f>K122+L255+0.22*L71</f>
        <v>151345.37289627999</v>
      </c>
      <c r="M122" s="94">
        <f>L122+M255+0.22*M71</f>
        <v>166204.81213083217</v>
      </c>
      <c r="N122" s="94">
        <f>M122+N255+0.22*N71</f>
        <v>182771.7104197985</v>
      </c>
    </row>
    <row r="123" spans="2:14" x14ac:dyDescent="0.35">
      <c r="B123" s="1" t="s">
        <v>105</v>
      </c>
      <c r="D123" s="87"/>
      <c r="E123" s="88">
        <v>84281</v>
      </c>
      <c r="F123" s="88">
        <v>118848</v>
      </c>
      <c r="G123" s="88">
        <v>173144</v>
      </c>
      <c r="H123" s="88">
        <v>237731</v>
      </c>
      <c r="I123" s="204">
        <v>328265</v>
      </c>
      <c r="J123" s="7">
        <f>J261</f>
        <v>425341.10451840004</v>
      </c>
      <c r="K123" s="7">
        <f>K261</f>
        <v>542661.88063637889</v>
      </c>
      <c r="L123" s="7">
        <f>L261</f>
        <v>683704.33753361925</v>
      </c>
      <c r="M123" s="7">
        <f>M261</f>
        <v>850855.5890273992</v>
      </c>
      <c r="N123" s="7">
        <f>N261</f>
        <v>1046656.4549545997</v>
      </c>
    </row>
    <row r="124" spans="2:14" x14ac:dyDescent="0.35">
      <c r="B124" s="1" t="s">
        <v>106</v>
      </c>
      <c r="D124" s="87"/>
      <c r="E124" s="88">
        <v>-4678</v>
      </c>
      <c r="F124" s="88">
        <v>-6343</v>
      </c>
      <c r="G124" s="88">
        <v>-5590</v>
      </c>
      <c r="H124" s="88">
        <v>-3347</v>
      </c>
      <c r="I124" s="204">
        <v>-3284</v>
      </c>
      <c r="J124" s="7">
        <f>I124</f>
        <v>-3284</v>
      </c>
      <c r="K124" s="7">
        <f>J124</f>
        <v>-3284</v>
      </c>
      <c r="L124" s="7">
        <f>K124</f>
        <v>-3284</v>
      </c>
      <c r="M124" s="7">
        <f>L124</f>
        <v>-3284</v>
      </c>
      <c r="N124" s="7">
        <f>M124</f>
        <v>-3284</v>
      </c>
    </row>
    <row r="125" spans="2:14" x14ac:dyDescent="0.35">
      <c r="B125" s="83" t="s">
        <v>107</v>
      </c>
      <c r="C125" s="194"/>
      <c r="D125" s="210"/>
      <c r="E125" s="8">
        <f t="shared" ref="E125:N125" si="24">IF(COUNT(E122:E124)=0,"",SUM(E122:E124))</f>
        <v>166542</v>
      </c>
      <c r="F125" s="8">
        <f t="shared" si="24"/>
        <v>206223</v>
      </c>
      <c r="G125" s="8">
        <f t="shared" si="24"/>
        <v>268477</v>
      </c>
      <c r="H125" s="8">
        <f t="shared" si="24"/>
        <v>343479</v>
      </c>
      <c r="I125" s="9">
        <f t="shared" si="24"/>
        <v>442387</v>
      </c>
      <c r="J125" s="10">
        <f t="shared" si="24"/>
        <v>549054.17899839999</v>
      </c>
      <c r="K125" s="10">
        <f t="shared" si="24"/>
        <v>677665.23491637886</v>
      </c>
      <c r="L125" s="10">
        <f t="shared" si="24"/>
        <v>831765.71042989928</v>
      </c>
      <c r="M125" s="10">
        <f t="shared" si="24"/>
        <v>1013776.4011582313</v>
      </c>
      <c r="N125" s="10">
        <f t="shared" si="24"/>
        <v>1226144.1653743982</v>
      </c>
    </row>
    <row r="126" spans="2:14" ht="15" thickBot="1" x14ac:dyDescent="0.4">
      <c r="B126" s="85" t="s">
        <v>108</v>
      </c>
      <c r="C126" s="193"/>
      <c r="D126" s="209"/>
      <c r="E126" s="11">
        <f t="shared" ref="E126:N126" si="25">IF(COUNT(E119,E125)=0,"",SUM(E119,E125))</f>
        <v>364840</v>
      </c>
      <c r="F126" s="11">
        <f t="shared" si="25"/>
        <v>411976</v>
      </c>
      <c r="G126" s="11">
        <f t="shared" si="25"/>
        <v>512163</v>
      </c>
      <c r="H126" s="11">
        <f t="shared" si="25"/>
        <v>619003</v>
      </c>
      <c r="I126" s="12">
        <f t="shared" si="25"/>
        <v>758376</v>
      </c>
      <c r="J126" s="13">
        <f t="shared" si="25"/>
        <v>905248.60255590989</v>
      </c>
      <c r="K126" s="13">
        <f t="shared" si="25"/>
        <v>1075575.1412312868</v>
      </c>
      <c r="L126" s="13">
        <f t="shared" si="25"/>
        <v>1272813.2709624805</v>
      </c>
      <c r="M126" s="13">
        <f t="shared" si="25"/>
        <v>1497035.6749941835</v>
      </c>
      <c r="N126" s="13">
        <f t="shared" si="25"/>
        <v>1750725.1503017219</v>
      </c>
    </row>
    <row r="127" spans="2:14" x14ac:dyDescent="0.35">
      <c r="B127" s="195" t="s">
        <v>341</v>
      </c>
      <c r="C127" s="196"/>
      <c r="D127" s="211"/>
      <c r="E127" s="212">
        <f t="shared" ref="E127:N127" si="26">E103-E126</f>
        <v>0</v>
      </c>
      <c r="F127" s="212">
        <f t="shared" si="26"/>
        <v>0</v>
      </c>
      <c r="G127" s="212">
        <f t="shared" si="26"/>
        <v>0</v>
      </c>
      <c r="H127" s="212">
        <f t="shared" si="26"/>
        <v>0</v>
      </c>
      <c r="I127" s="212">
        <f t="shared" si="26"/>
        <v>0</v>
      </c>
      <c r="J127" s="212">
        <f t="shared" si="26"/>
        <v>0</v>
      </c>
      <c r="K127" s="212">
        <f t="shared" si="26"/>
        <v>0</v>
      </c>
      <c r="L127" s="212">
        <f t="shared" si="26"/>
        <v>0</v>
      </c>
      <c r="M127" s="212">
        <f t="shared" si="26"/>
        <v>0</v>
      </c>
      <c r="N127" s="212">
        <f t="shared" si="26"/>
        <v>0</v>
      </c>
    </row>
    <row r="129" spans="2:14" ht="19.5" x14ac:dyDescent="0.45">
      <c r="B129" s="197" t="s">
        <v>342</v>
      </c>
    </row>
    <row r="130" spans="2:14" x14ac:dyDescent="0.35">
      <c r="E130" s="57" t="s">
        <v>3</v>
      </c>
      <c r="F130" s="58"/>
      <c r="G130" s="58"/>
      <c r="H130" s="58"/>
      <c r="I130" s="57" t="s">
        <v>1113</v>
      </c>
      <c r="J130" s="198"/>
      <c r="K130" s="198"/>
      <c r="L130" s="198"/>
      <c r="M130" s="198"/>
      <c r="N130" s="198"/>
    </row>
    <row r="131" spans="2:14" x14ac:dyDescent="0.35">
      <c r="B131" s="54" t="s">
        <v>343</v>
      </c>
      <c r="E131" s="62" t="str">
        <f>(2021+COLUMN()-COLUMN($D$7))&amp;IF(COLUMN()-COLUMN($D$7)&lt;5,"A","E")</f>
        <v>2022A</v>
      </c>
      <c r="F131" s="62" t="str">
        <f>(2021+COLUMN()-COLUMN($D$7))&amp;IF(COLUMN()-COLUMN($D$7)&lt;5,"A","E")</f>
        <v>2023A</v>
      </c>
      <c r="G131" s="62" t="str">
        <f>(2021+COLUMN()-COLUMN($D$7))&amp;IF(COLUMN()-COLUMN($D$7)&lt;5,"A","E")</f>
        <v>2024A</v>
      </c>
      <c r="H131" s="62" t="str">
        <f>(2021+COLUMN()-COLUMN($D$7))&amp;IF(COLUMN()-COLUMN($D$7)&lt;5,"A","E")</f>
        <v>2025A</v>
      </c>
      <c r="I131" s="62" t="s">
        <v>5</v>
      </c>
      <c r="J131" s="63" t="str">
        <f>(2021+COLUMN()-COLUMN($D$7))&amp;IF(COLUMN()-COLUMN($D$7)&lt;5,"A","E")</f>
        <v>2027E</v>
      </c>
      <c r="K131" s="63" t="str">
        <f>(2021+COLUMN()-COLUMN($D$7))&amp;IF(COLUMN()-COLUMN($D$7)&lt;5,"A","E")</f>
        <v>2028E</v>
      </c>
      <c r="L131" s="63" t="str">
        <f>(2021+COLUMN()-COLUMN($D$7))&amp;IF(COLUMN()-COLUMN($D$7)&lt;5,"A","E")</f>
        <v>2029E</v>
      </c>
      <c r="M131" s="63" t="str">
        <f>(2021+COLUMN()-COLUMN($D$7))&amp;IF(COLUMN()-COLUMN($D$7)&lt;5,"A","E")</f>
        <v>2030E</v>
      </c>
      <c r="N131" s="63" t="str">
        <f>(2021+COLUMN()-COLUMN($D$7))&amp;IF(COLUMN()-COLUMN($D$7)&lt;5,"A","E")</f>
        <v>2031E</v>
      </c>
    </row>
    <row r="132" spans="2:14" x14ac:dyDescent="0.35">
      <c r="B132" s="54" t="s">
        <v>304</v>
      </c>
    </row>
    <row r="133" spans="2:14" x14ac:dyDescent="0.35">
      <c r="B133" t="s">
        <v>29</v>
      </c>
      <c r="D133" s="95"/>
      <c r="E133" s="7">
        <f t="shared" ref="E133:I135" si="27">E39</f>
        <v>63364</v>
      </c>
      <c r="F133" s="7">
        <f t="shared" si="27"/>
        <v>94151</v>
      </c>
      <c r="G133" s="7">
        <f t="shared" si="27"/>
        <v>106820</v>
      </c>
      <c r="H133" s="7">
        <f t="shared" si="27"/>
        <v>120810</v>
      </c>
      <c r="I133" s="7">
        <f t="shared" si="27"/>
        <v>139996</v>
      </c>
      <c r="J133" s="41">
        <f>I133*(1+Assumptions!E27)</f>
        <v>156795.52000000002</v>
      </c>
      <c r="K133" s="41">
        <f>J133*(1+Assumptions!F27)</f>
        <v>175610.98240000004</v>
      </c>
      <c r="L133" s="41">
        <f>K133*(1+Assumptions!G27)</f>
        <v>194928.19046400007</v>
      </c>
      <c r="M133" s="41">
        <f>L133*(1+Assumptions!H27)</f>
        <v>214421.00951040009</v>
      </c>
      <c r="N133" s="41">
        <f>M133*(1+Assumptions!I27)</f>
        <v>233718.90036633611</v>
      </c>
    </row>
    <row r="134" spans="2:14" x14ac:dyDescent="0.35">
      <c r="B134" t="s">
        <v>30</v>
      </c>
      <c r="D134" s="95"/>
      <c r="E134" s="7">
        <f t="shared" si="27"/>
        <v>74965</v>
      </c>
      <c r="F134" s="7">
        <f t="shared" si="27"/>
        <v>72944</v>
      </c>
      <c r="G134" s="7">
        <f t="shared" si="27"/>
        <v>87464</v>
      </c>
      <c r="H134" s="7">
        <f t="shared" si="27"/>
        <v>106265</v>
      </c>
      <c r="I134" s="7">
        <f t="shared" si="27"/>
        <v>137791</v>
      </c>
      <c r="J134" s="41">
        <f>'3 statement Model'!I134*(1+Assumptions!E22)</f>
        <v>181884.12</v>
      </c>
      <c r="K134" s="41">
        <f>'3 statement Model'!J134*(1+Assumptions!F22)</f>
        <v>232811.67360000001</v>
      </c>
      <c r="L134" s="41">
        <f>'3 statement Model'!K134*(1+Assumptions!G22)</f>
        <v>288686.47526400001</v>
      </c>
      <c r="M134" s="41">
        <f>'3 statement Model'!L134*(1+Assumptions!H22)</f>
        <v>349310.63506944</v>
      </c>
      <c r="N134" s="41">
        <f>'3 statement Model'!M134*(1+Assumptions!I22)</f>
        <v>412186.54938193917</v>
      </c>
    </row>
    <row r="135" spans="2:14" x14ac:dyDescent="0.35">
      <c r="B135" t="s">
        <v>31</v>
      </c>
      <c r="D135" s="95"/>
      <c r="E135" s="7">
        <f t="shared" si="27"/>
        <v>59941</v>
      </c>
      <c r="F135" s="7">
        <f t="shared" si="27"/>
        <v>44820</v>
      </c>
      <c r="G135" s="7">
        <f t="shared" si="27"/>
        <v>50838</v>
      </c>
      <c r="H135" s="7">
        <f t="shared" si="27"/>
        <v>54649</v>
      </c>
      <c r="I135" s="7">
        <f t="shared" si="27"/>
        <v>54052</v>
      </c>
      <c r="J135" s="41">
        <f>I135*(1+Assumptions!E32)</f>
        <v>51349.399999999994</v>
      </c>
      <c r="K135" s="41">
        <f>J135*(1+Assumptions!F32)</f>
        <v>51862.893999999993</v>
      </c>
      <c r="L135" s="41">
        <f>K135*(1+Assumptions!G32)</f>
        <v>52900.15187999999</v>
      </c>
      <c r="M135" s="41">
        <f>L135*(1+Assumptions!H32)</f>
        <v>54487.156436399993</v>
      </c>
      <c r="N135" s="41">
        <f>M135*(1+Assumptions!I32)</f>
        <v>56121.771129491994</v>
      </c>
    </row>
    <row r="136" spans="2:14" ht="15" thickBot="1" x14ac:dyDescent="0.4">
      <c r="B136" s="54" t="s">
        <v>344</v>
      </c>
      <c r="D136" s="95"/>
      <c r="E136" s="98">
        <f t="shared" ref="E136:N136" si="28">SUM(E133:E135)</f>
        <v>198270</v>
      </c>
      <c r="F136" s="98">
        <f t="shared" si="28"/>
        <v>211915</v>
      </c>
      <c r="G136" s="98">
        <f t="shared" si="28"/>
        <v>245122</v>
      </c>
      <c r="H136" s="98">
        <f t="shared" si="28"/>
        <v>281724</v>
      </c>
      <c r="I136" s="98">
        <f t="shared" si="28"/>
        <v>331839</v>
      </c>
      <c r="J136" s="98">
        <f t="shared" si="28"/>
        <v>390029.04000000004</v>
      </c>
      <c r="K136" s="98">
        <f t="shared" si="28"/>
        <v>460285.55000000005</v>
      </c>
      <c r="L136" s="98">
        <f t="shared" si="28"/>
        <v>536514.81760800013</v>
      </c>
      <c r="M136" s="98">
        <f t="shared" si="28"/>
        <v>618218.80101624015</v>
      </c>
      <c r="N136" s="98">
        <f t="shared" si="28"/>
        <v>702027.22087776731</v>
      </c>
    </row>
    <row r="138" spans="2:14" x14ac:dyDescent="0.35">
      <c r="B138" s="54" t="s">
        <v>345</v>
      </c>
    </row>
    <row r="139" spans="2:14" x14ac:dyDescent="0.35">
      <c r="B139" s="1" t="s">
        <v>29</v>
      </c>
      <c r="D139" s="95"/>
      <c r="E139" s="163">
        <f t="shared" ref="E139:N142" si="29">E133/E$136</f>
        <v>0.31958440510415093</v>
      </c>
      <c r="F139" s="163">
        <f t="shared" si="29"/>
        <v>0.44428662435410426</v>
      </c>
      <c r="G139" s="163">
        <f t="shared" si="29"/>
        <v>0.43578299785412977</v>
      </c>
      <c r="H139" s="163">
        <f t="shared" si="29"/>
        <v>0.42882395536056567</v>
      </c>
      <c r="I139" s="163">
        <f t="shared" si="29"/>
        <v>0.42187928483391041</v>
      </c>
      <c r="J139" s="163">
        <f t="shared" si="29"/>
        <v>0.40200986059909799</v>
      </c>
      <c r="K139" s="163">
        <f t="shared" si="29"/>
        <v>0.38152616870114653</v>
      </c>
      <c r="L139" s="163">
        <f t="shared" si="29"/>
        <v>0.36332303240583125</v>
      </c>
      <c r="M139" s="163">
        <f t="shared" si="29"/>
        <v>0.3468367658148388</v>
      </c>
      <c r="N139" s="163">
        <f t="shared" si="29"/>
        <v>0.33291999713929871</v>
      </c>
    </row>
    <row r="140" spans="2:14" x14ac:dyDescent="0.35">
      <c r="B140" s="1" t="s">
        <v>30</v>
      </c>
      <c r="D140" s="95"/>
      <c r="E140" s="163">
        <f t="shared" si="29"/>
        <v>0.37809552630251675</v>
      </c>
      <c r="F140" s="163">
        <f t="shared" si="29"/>
        <v>0.34421348182054123</v>
      </c>
      <c r="G140" s="163">
        <f t="shared" si="29"/>
        <v>0.35681823744910696</v>
      </c>
      <c r="H140" s="163">
        <f t="shared" si="29"/>
        <v>0.37719541111158439</v>
      </c>
      <c r="I140" s="163">
        <f t="shared" si="29"/>
        <v>0.41523449624667386</v>
      </c>
      <c r="J140" s="163">
        <f t="shared" si="29"/>
        <v>0.46633481445381597</v>
      </c>
      <c r="K140" s="163">
        <f t="shared" si="29"/>
        <v>0.50579835408693574</v>
      </c>
      <c r="L140" s="163">
        <f t="shared" si="29"/>
        <v>0.53807735739915064</v>
      </c>
      <c r="M140" s="163">
        <f t="shared" si="29"/>
        <v>0.56502751856662459</v>
      </c>
      <c r="N140" s="163">
        <f t="shared" si="29"/>
        <v>0.58713755980369109</v>
      </c>
    </row>
    <row r="141" spans="2:14" x14ac:dyDescent="0.35">
      <c r="B141" s="1" t="s">
        <v>31</v>
      </c>
      <c r="D141" s="95"/>
      <c r="E141" s="163">
        <f t="shared" si="29"/>
        <v>0.30232006859333233</v>
      </c>
      <c r="F141" s="163">
        <f t="shared" si="29"/>
        <v>0.2114998938253545</v>
      </c>
      <c r="G141" s="163">
        <f t="shared" si="29"/>
        <v>0.20739876469676324</v>
      </c>
      <c r="H141" s="163">
        <f t="shared" si="29"/>
        <v>0.19398063352784994</v>
      </c>
      <c r="I141" s="163">
        <f t="shared" si="29"/>
        <v>0.16288621891941574</v>
      </c>
      <c r="J141" s="163">
        <f t="shared" si="29"/>
        <v>0.13165532494708596</v>
      </c>
      <c r="K141" s="163">
        <f t="shared" si="29"/>
        <v>0.11267547721191766</v>
      </c>
      <c r="L141" s="163">
        <f t="shared" si="29"/>
        <v>9.8599610195017992E-2</v>
      </c>
      <c r="M141" s="163">
        <f t="shared" si="29"/>
        <v>8.8135715618536573E-2</v>
      </c>
      <c r="N141" s="163">
        <f t="shared" si="29"/>
        <v>7.9942443057010135E-2</v>
      </c>
    </row>
    <row r="142" spans="2:14" ht="15" thickBot="1" x14ac:dyDescent="0.4">
      <c r="B142" s="54" t="s">
        <v>344</v>
      </c>
      <c r="D142" s="95"/>
      <c r="E142" s="213">
        <f t="shared" si="29"/>
        <v>1</v>
      </c>
      <c r="F142" s="213">
        <f t="shared" si="29"/>
        <v>1</v>
      </c>
      <c r="G142" s="213">
        <f t="shared" si="29"/>
        <v>1</v>
      </c>
      <c r="H142" s="213">
        <f t="shared" si="29"/>
        <v>1</v>
      </c>
      <c r="I142" s="213">
        <f t="shared" si="29"/>
        <v>1</v>
      </c>
      <c r="J142" s="213">
        <f t="shared" si="29"/>
        <v>1</v>
      </c>
      <c r="K142" s="213">
        <f t="shared" si="29"/>
        <v>1</v>
      </c>
      <c r="L142" s="213">
        <f t="shared" si="29"/>
        <v>1</v>
      </c>
      <c r="M142" s="213">
        <f t="shared" si="29"/>
        <v>1</v>
      </c>
      <c r="N142" s="213">
        <f t="shared" si="29"/>
        <v>1</v>
      </c>
    </row>
    <row r="144" spans="2:14" x14ac:dyDescent="0.35">
      <c r="B144" s="54" t="s">
        <v>346</v>
      </c>
    </row>
    <row r="145" spans="2:14" x14ac:dyDescent="0.35">
      <c r="B145" s="1" t="s">
        <v>7</v>
      </c>
      <c r="D145" s="95"/>
      <c r="E145" s="7">
        <f t="shared" ref="E145:I146" si="30">E7</f>
        <v>72732</v>
      </c>
      <c r="F145" s="7">
        <f t="shared" si="30"/>
        <v>64699</v>
      </c>
      <c r="G145" s="7">
        <f t="shared" si="30"/>
        <v>64773</v>
      </c>
      <c r="H145" s="7">
        <f t="shared" si="30"/>
        <v>63946</v>
      </c>
      <c r="I145" s="7">
        <f t="shared" si="30"/>
        <v>64696</v>
      </c>
      <c r="J145" s="41">
        <f>I145*(1+Assumptions!E6)</f>
        <v>65989.919999999998</v>
      </c>
      <c r="K145" s="41">
        <f>J145*(1+Assumptions!F6)</f>
        <v>67309.718399999998</v>
      </c>
      <c r="L145" s="41">
        <f>K145*(1+Assumptions!G6)</f>
        <v>68655.912767999995</v>
      </c>
      <c r="M145" s="41">
        <f>L145*(1+Assumptions!H6)</f>
        <v>70029.031023360003</v>
      </c>
      <c r="N145" s="41">
        <f>M145*(1+Assumptions!I6)</f>
        <v>71429.6116438272</v>
      </c>
    </row>
    <row r="146" spans="2:14" x14ac:dyDescent="0.35">
      <c r="B146" s="1" t="s">
        <v>347</v>
      </c>
      <c r="D146" s="95"/>
      <c r="E146" s="7">
        <f t="shared" si="30"/>
        <v>125538</v>
      </c>
      <c r="F146" s="7">
        <f t="shared" si="30"/>
        <v>147216</v>
      </c>
      <c r="G146" s="7">
        <f t="shared" si="30"/>
        <v>180349</v>
      </c>
      <c r="H146" s="7">
        <f t="shared" si="30"/>
        <v>217778</v>
      </c>
      <c r="I146" s="7">
        <f t="shared" si="30"/>
        <v>267143</v>
      </c>
      <c r="J146" s="7">
        <f>J136-J145</f>
        <v>324039.12000000005</v>
      </c>
      <c r="K146" s="7">
        <f>K136-K145</f>
        <v>392975.83160000003</v>
      </c>
      <c r="L146" s="7">
        <f>L136-L145</f>
        <v>467858.90484000015</v>
      </c>
      <c r="M146" s="7">
        <f>M136-M145</f>
        <v>548189.76999288017</v>
      </c>
      <c r="N146" s="7">
        <f>N136-N145</f>
        <v>630597.60923394014</v>
      </c>
    </row>
    <row r="147" spans="2:14" ht="15" thickBot="1" x14ac:dyDescent="0.4">
      <c r="B147" s="54" t="s">
        <v>344</v>
      </c>
      <c r="D147" s="95"/>
      <c r="E147" s="98">
        <f t="shared" ref="E147:N147" si="31">SUM(E145:E146)</f>
        <v>198270</v>
      </c>
      <c r="F147" s="98">
        <f t="shared" si="31"/>
        <v>211915</v>
      </c>
      <c r="G147" s="98">
        <f t="shared" si="31"/>
        <v>245122</v>
      </c>
      <c r="H147" s="98">
        <f t="shared" si="31"/>
        <v>281724</v>
      </c>
      <c r="I147" s="98">
        <f t="shared" si="31"/>
        <v>331839</v>
      </c>
      <c r="J147" s="98">
        <f t="shared" si="31"/>
        <v>390029.04000000004</v>
      </c>
      <c r="K147" s="98">
        <f t="shared" si="31"/>
        <v>460285.55000000005</v>
      </c>
      <c r="L147" s="98">
        <f t="shared" si="31"/>
        <v>536514.81760800013</v>
      </c>
      <c r="M147" s="98">
        <f t="shared" si="31"/>
        <v>618218.80101624015</v>
      </c>
      <c r="N147" s="98">
        <f t="shared" si="31"/>
        <v>702027.22087776731</v>
      </c>
    </row>
    <row r="149" spans="2:14" x14ac:dyDescent="0.35">
      <c r="B149" s="54" t="s">
        <v>348</v>
      </c>
    </row>
    <row r="150" spans="2:14" x14ac:dyDescent="0.35">
      <c r="B150" s="1" t="s">
        <v>7</v>
      </c>
      <c r="D150" s="95"/>
      <c r="E150" s="163">
        <f t="shared" ref="E150:N152" si="32">E145/E$147</f>
        <v>0.36683310637010136</v>
      </c>
      <c r="F150" s="163">
        <f t="shared" si="32"/>
        <v>0.30530637283816625</v>
      </c>
      <c r="G150" s="163">
        <f t="shared" si="32"/>
        <v>0.26424800711482443</v>
      </c>
      <c r="H150" s="163">
        <f t="shared" si="32"/>
        <v>0.2269810168817708</v>
      </c>
      <c r="I150" s="163">
        <f t="shared" si="32"/>
        <v>0.19496201471195368</v>
      </c>
      <c r="J150" s="163">
        <f t="shared" si="32"/>
        <v>0.16919232475612583</v>
      </c>
      <c r="K150" s="163">
        <f t="shared" si="32"/>
        <v>0.14623469800431491</v>
      </c>
      <c r="L150" s="163">
        <f t="shared" si="32"/>
        <v>0.12796648016935636</v>
      </c>
      <c r="M150" s="163">
        <f t="shared" si="32"/>
        <v>0.11327547934201437</v>
      </c>
      <c r="N150" s="163">
        <f t="shared" si="32"/>
        <v>0.10174763815356967</v>
      </c>
    </row>
    <row r="151" spans="2:14" x14ac:dyDescent="0.35">
      <c r="B151" s="1" t="s">
        <v>347</v>
      </c>
      <c r="D151" s="95"/>
      <c r="E151" s="163">
        <f t="shared" si="32"/>
        <v>0.63316689362989864</v>
      </c>
      <c r="F151" s="163">
        <f t="shared" si="32"/>
        <v>0.6946936271618338</v>
      </c>
      <c r="G151" s="163">
        <f t="shared" si="32"/>
        <v>0.73575199288517557</v>
      </c>
      <c r="H151" s="163">
        <f t="shared" si="32"/>
        <v>0.77301898311822914</v>
      </c>
      <c r="I151" s="163">
        <f t="shared" si="32"/>
        <v>0.80503798528804626</v>
      </c>
      <c r="J151" s="163">
        <f t="shared" si="32"/>
        <v>0.83080767524387422</v>
      </c>
      <c r="K151" s="163">
        <f t="shared" si="32"/>
        <v>0.85376530199568501</v>
      </c>
      <c r="L151" s="163">
        <f t="shared" si="32"/>
        <v>0.8720335198306437</v>
      </c>
      <c r="M151" s="163">
        <f t="shared" si="32"/>
        <v>0.88672452065798568</v>
      </c>
      <c r="N151" s="163">
        <f t="shared" si="32"/>
        <v>0.89825236184643042</v>
      </c>
    </row>
    <row r="152" spans="2:14" ht="15" thickBot="1" x14ac:dyDescent="0.4">
      <c r="B152" s="54" t="s">
        <v>344</v>
      </c>
      <c r="D152" s="95"/>
      <c r="E152" s="213">
        <f t="shared" si="32"/>
        <v>1</v>
      </c>
      <c r="F152" s="213">
        <f t="shared" si="32"/>
        <v>1</v>
      </c>
      <c r="G152" s="213">
        <f t="shared" si="32"/>
        <v>1</v>
      </c>
      <c r="H152" s="213">
        <f t="shared" si="32"/>
        <v>1</v>
      </c>
      <c r="I152" s="213">
        <f t="shared" si="32"/>
        <v>1</v>
      </c>
      <c r="J152" s="213">
        <f t="shared" si="32"/>
        <v>1</v>
      </c>
      <c r="K152" s="213">
        <f t="shared" si="32"/>
        <v>1</v>
      </c>
      <c r="L152" s="213">
        <f t="shared" si="32"/>
        <v>1</v>
      </c>
      <c r="M152" s="213">
        <f t="shared" si="32"/>
        <v>1</v>
      </c>
      <c r="N152" s="213">
        <f t="shared" si="32"/>
        <v>1</v>
      </c>
    </row>
    <row r="154" spans="2:14" x14ac:dyDescent="0.35">
      <c r="B154" s="54" t="s">
        <v>349</v>
      </c>
    </row>
    <row r="155" spans="2:14" x14ac:dyDescent="0.35">
      <c r="B155" s="1" t="s">
        <v>7</v>
      </c>
      <c r="D155" s="95"/>
      <c r="E155" s="7">
        <f t="shared" ref="E155:I156" si="33">E12</f>
        <v>19064</v>
      </c>
      <c r="F155" s="7">
        <f t="shared" si="33"/>
        <v>17804</v>
      </c>
      <c r="G155" s="7">
        <f t="shared" si="33"/>
        <v>15272</v>
      </c>
      <c r="H155" s="7">
        <f t="shared" si="33"/>
        <v>13501</v>
      </c>
      <c r="I155" s="7">
        <f t="shared" si="33"/>
        <v>12098</v>
      </c>
      <c r="J155" s="41">
        <f>J145*(1-Assumptions!E14)</f>
        <v>12339.96</v>
      </c>
      <c r="K155" s="41">
        <f>K145*(1-Assumptions!F14)</f>
        <v>12586.759199999999</v>
      </c>
      <c r="L155" s="41">
        <f>L145*(1-Assumptions!G14)</f>
        <v>12838.494383999998</v>
      </c>
      <c r="M155" s="41">
        <f>M145*(1-Assumptions!H14)</f>
        <v>13095.26427168</v>
      </c>
      <c r="N155" s="41">
        <f>N145*(1-Assumptions!I14)</f>
        <v>13357.169557113599</v>
      </c>
    </row>
    <row r="156" spans="2:14" x14ac:dyDescent="0.35">
      <c r="B156" s="1" t="s">
        <v>347</v>
      </c>
      <c r="D156" s="95"/>
      <c r="E156" s="7">
        <f t="shared" si="33"/>
        <v>43586</v>
      </c>
      <c r="F156" s="7">
        <f t="shared" si="33"/>
        <v>48059</v>
      </c>
      <c r="G156" s="7">
        <f t="shared" si="33"/>
        <v>58842</v>
      </c>
      <c r="H156" s="7">
        <f t="shared" si="33"/>
        <v>74330</v>
      </c>
      <c r="I156" s="7">
        <f t="shared" si="33"/>
        <v>94276</v>
      </c>
      <c r="J156" s="41">
        <f>J136*(1-Assumptions!E37)-J155</f>
        <v>121830.02976</v>
      </c>
      <c r="K156" s="41">
        <f>K136*(1-Assumptions!F37)-K155</f>
        <v>145751.47</v>
      </c>
      <c r="L156" s="41">
        <f>L136*(1-Assumptions!G37)-L155</f>
        <v>170649.57323793604</v>
      </c>
      <c r="M156" s="41">
        <f>M136*(1-Assumptions!H37)-M155</f>
        <v>197099.12807384162</v>
      </c>
      <c r="N156" s="41">
        <f>N136*(1-Assumptions!I37)-N155</f>
        <v>223928.03109957173</v>
      </c>
    </row>
    <row r="157" spans="2:14" ht="15" thickBot="1" x14ac:dyDescent="0.4">
      <c r="B157" s="54" t="s">
        <v>350</v>
      </c>
      <c r="D157" s="95"/>
      <c r="E157" s="98">
        <f t="shared" ref="E157:N157" si="34">SUM(E155:E156)</f>
        <v>62650</v>
      </c>
      <c r="F157" s="98">
        <f t="shared" si="34"/>
        <v>65863</v>
      </c>
      <c r="G157" s="98">
        <f t="shared" si="34"/>
        <v>74114</v>
      </c>
      <c r="H157" s="98">
        <f t="shared" si="34"/>
        <v>87831</v>
      </c>
      <c r="I157" s="98">
        <f t="shared" si="34"/>
        <v>106374</v>
      </c>
      <c r="J157" s="98">
        <f t="shared" si="34"/>
        <v>134169.98976</v>
      </c>
      <c r="K157" s="98">
        <f t="shared" si="34"/>
        <v>158338.2292</v>
      </c>
      <c r="L157" s="98">
        <f t="shared" si="34"/>
        <v>183488.06762193603</v>
      </c>
      <c r="M157" s="98">
        <f t="shared" si="34"/>
        <v>210194.39234552163</v>
      </c>
      <c r="N157" s="98">
        <f t="shared" si="34"/>
        <v>237285.20065668534</v>
      </c>
    </row>
    <row r="159" spans="2:14" x14ac:dyDescent="0.35">
      <c r="B159" t="s">
        <v>351</v>
      </c>
    </row>
    <row r="160" spans="2:14" x14ac:dyDescent="0.35">
      <c r="B160" s="1" t="s">
        <v>7</v>
      </c>
      <c r="D160" s="95"/>
      <c r="E160" s="163">
        <f t="shared" ref="E160:N162" si="35">E155/E$157</f>
        <v>0.30429369513168397</v>
      </c>
      <c r="F160" s="163">
        <f t="shared" si="35"/>
        <v>0.27031869183001078</v>
      </c>
      <c r="G160" s="163">
        <f t="shared" si="35"/>
        <v>0.20606093315702836</v>
      </c>
      <c r="H160" s="163">
        <f t="shared" si="35"/>
        <v>0.15371565848049093</v>
      </c>
      <c r="I160" s="163">
        <f t="shared" si="35"/>
        <v>0.11373079887942543</v>
      </c>
      <c r="J160" s="163">
        <f t="shared" si="35"/>
        <v>9.1972579129456736E-2</v>
      </c>
      <c r="K160" s="163">
        <f t="shared" si="35"/>
        <v>7.9492863243414355E-2</v>
      </c>
      <c r="L160" s="163">
        <f t="shared" si="35"/>
        <v>6.9969096903090139E-2</v>
      </c>
      <c r="M160" s="163">
        <f t="shared" si="35"/>
        <v>6.2300730887976073E-2</v>
      </c>
      <c r="N160" s="163">
        <f t="shared" si="35"/>
        <v>5.6291625099870173E-2</v>
      </c>
    </row>
    <row r="161" spans="2:14" x14ac:dyDescent="0.35">
      <c r="B161" s="1" t="s">
        <v>347</v>
      </c>
      <c r="D161" s="95"/>
      <c r="E161" s="163">
        <f t="shared" si="35"/>
        <v>0.69570630486831608</v>
      </c>
      <c r="F161" s="163">
        <f t="shared" si="35"/>
        <v>0.72968130816998922</v>
      </c>
      <c r="G161" s="163">
        <f t="shared" si="35"/>
        <v>0.79393906684297166</v>
      </c>
      <c r="H161" s="163">
        <f t="shared" si="35"/>
        <v>0.84628434151950904</v>
      </c>
      <c r="I161" s="163">
        <f t="shared" si="35"/>
        <v>0.88626920112057461</v>
      </c>
      <c r="J161" s="163">
        <f t="shared" si="35"/>
        <v>0.90802742087054333</v>
      </c>
      <c r="K161" s="163">
        <f t="shared" si="35"/>
        <v>0.92050713675658558</v>
      </c>
      <c r="L161" s="163">
        <f t="shared" si="35"/>
        <v>0.93003090309690994</v>
      </c>
      <c r="M161" s="163">
        <f t="shared" si="35"/>
        <v>0.93769926911202395</v>
      </c>
      <c r="N161" s="163">
        <f t="shared" si="35"/>
        <v>0.94370837490012982</v>
      </c>
    </row>
    <row r="162" spans="2:14" ht="15" thickBot="1" x14ac:dyDescent="0.4">
      <c r="B162" s="54" t="s">
        <v>350</v>
      </c>
      <c r="D162" s="95"/>
      <c r="E162" s="213">
        <f t="shared" si="35"/>
        <v>1</v>
      </c>
      <c r="F162" s="213">
        <f t="shared" si="35"/>
        <v>1</v>
      </c>
      <c r="G162" s="213">
        <f t="shared" si="35"/>
        <v>1</v>
      </c>
      <c r="H162" s="213">
        <f t="shared" si="35"/>
        <v>1</v>
      </c>
      <c r="I162" s="213">
        <f t="shared" si="35"/>
        <v>1</v>
      </c>
      <c r="J162" s="213">
        <f t="shared" si="35"/>
        <v>1</v>
      </c>
      <c r="K162" s="213">
        <f t="shared" si="35"/>
        <v>1</v>
      </c>
      <c r="L162" s="213">
        <f t="shared" si="35"/>
        <v>1</v>
      </c>
      <c r="M162" s="213">
        <f t="shared" si="35"/>
        <v>1</v>
      </c>
      <c r="N162" s="213">
        <f t="shared" si="35"/>
        <v>1</v>
      </c>
    </row>
    <row r="164" spans="2:14" x14ac:dyDescent="0.35">
      <c r="B164" t="s">
        <v>352</v>
      </c>
      <c r="D164" s="95"/>
      <c r="E164" s="7">
        <f t="shared" ref="E164:N164" si="36">E136-E157</f>
        <v>135620</v>
      </c>
      <c r="F164" s="7">
        <f t="shared" si="36"/>
        <v>146052</v>
      </c>
      <c r="G164" s="7">
        <f t="shared" si="36"/>
        <v>171008</v>
      </c>
      <c r="H164" s="7">
        <f t="shared" si="36"/>
        <v>193893</v>
      </c>
      <c r="I164" s="7">
        <f t="shared" si="36"/>
        <v>225465</v>
      </c>
      <c r="J164" s="7">
        <f t="shared" si="36"/>
        <v>255859.05024000004</v>
      </c>
      <c r="K164" s="7">
        <f t="shared" si="36"/>
        <v>301947.32080000004</v>
      </c>
      <c r="L164" s="7">
        <f t="shared" si="36"/>
        <v>353026.7499860641</v>
      </c>
      <c r="M164" s="7">
        <f t="shared" si="36"/>
        <v>408024.40867071855</v>
      </c>
      <c r="N164" s="7">
        <f t="shared" si="36"/>
        <v>464742.02022108197</v>
      </c>
    </row>
    <row r="165" spans="2:14" ht="15" thickBot="1" x14ac:dyDescent="0.4">
      <c r="B165" s="54" t="s">
        <v>353</v>
      </c>
      <c r="D165" s="95"/>
      <c r="E165" s="213">
        <f t="shared" ref="E165:N165" si="37">E164/E147</f>
        <v>0.68401674484289099</v>
      </c>
      <c r="F165" s="213">
        <f t="shared" si="37"/>
        <v>0.68920085883491022</v>
      </c>
      <c r="G165" s="213">
        <f t="shared" si="37"/>
        <v>0.69764443827971379</v>
      </c>
      <c r="H165" s="213">
        <f t="shared" si="37"/>
        <v>0.68823742386165188</v>
      </c>
      <c r="I165" s="213">
        <f t="shared" si="37"/>
        <v>0.67944093370580316</v>
      </c>
      <c r="J165" s="213">
        <f t="shared" si="37"/>
        <v>0.65600000000000003</v>
      </c>
      <c r="K165" s="213">
        <f t="shared" si="37"/>
        <v>0.65600000000000003</v>
      </c>
      <c r="L165" s="213">
        <f t="shared" si="37"/>
        <v>0.65800000000000003</v>
      </c>
      <c r="M165" s="213">
        <f t="shared" si="37"/>
        <v>0.66</v>
      </c>
      <c r="N165" s="213">
        <f t="shared" si="37"/>
        <v>0.66200000000000003</v>
      </c>
    </row>
    <row r="168" spans="2:14" x14ac:dyDescent="0.35">
      <c r="E168" s="57" t="s">
        <v>3</v>
      </c>
      <c r="F168" s="58"/>
      <c r="G168" s="58"/>
      <c r="H168" s="58"/>
      <c r="I168" s="57" t="s">
        <v>1113</v>
      </c>
      <c r="J168" s="59"/>
      <c r="K168" s="59"/>
      <c r="L168" s="59"/>
      <c r="M168" s="59"/>
      <c r="N168" s="59"/>
    </row>
    <row r="169" spans="2:14" ht="16" x14ac:dyDescent="0.4">
      <c r="B169" s="199" t="s">
        <v>354</v>
      </c>
      <c r="E169" s="62" t="str">
        <f>(2021+COLUMN()-COLUMN($D$7))&amp;IF(COLUMN()-COLUMN($D$7)&lt;5,"A","E")</f>
        <v>2022A</v>
      </c>
      <c r="F169" s="62" t="str">
        <f>(2021+COLUMN()-COLUMN($D$7))&amp;IF(COLUMN()-COLUMN($D$7)&lt;5,"A","E")</f>
        <v>2023A</v>
      </c>
      <c r="G169" s="62" t="str">
        <f>(2021+COLUMN()-COLUMN($D$7))&amp;IF(COLUMN()-COLUMN($D$7)&lt;5,"A","E")</f>
        <v>2024A</v>
      </c>
      <c r="H169" s="62" t="str">
        <f>(2021+COLUMN()-COLUMN($D$7))&amp;IF(COLUMN()-COLUMN($D$7)&lt;5,"A","E")</f>
        <v>2025A</v>
      </c>
      <c r="I169" s="62" t="s">
        <v>5</v>
      </c>
      <c r="J169" s="63" t="str">
        <f>(2021+COLUMN()-COLUMN($D$7))&amp;IF(COLUMN()-COLUMN($D$7)&lt;5,"A","E")</f>
        <v>2027E</v>
      </c>
      <c r="K169" s="63" t="str">
        <f>(2021+COLUMN()-COLUMN($D$7))&amp;IF(COLUMN()-COLUMN($D$7)&lt;5,"A","E")</f>
        <v>2028E</v>
      </c>
      <c r="L169" s="63" t="str">
        <f>(2021+COLUMN()-COLUMN($D$7))&amp;IF(COLUMN()-COLUMN($D$7)&lt;5,"A","E")</f>
        <v>2029E</v>
      </c>
      <c r="M169" s="63" t="str">
        <f>(2021+COLUMN()-COLUMN($D$7))&amp;IF(COLUMN()-COLUMN($D$7)&lt;5,"A","E")</f>
        <v>2030E</v>
      </c>
      <c r="N169" s="63" t="str">
        <f>(2021+COLUMN()-COLUMN($D$7))&amp;IF(COLUMN()-COLUMN($D$7)&lt;5,"A","E")</f>
        <v>2031E</v>
      </c>
    </row>
    <row r="170" spans="2:14" x14ac:dyDescent="0.35">
      <c r="B170" s="54"/>
    </row>
    <row r="171" spans="2:14" x14ac:dyDescent="0.35">
      <c r="B171" t="s">
        <v>355</v>
      </c>
      <c r="I171" s="95"/>
      <c r="J171" s="321">
        <f>Assumptions!$H$97+Assumptions!E114</f>
        <v>0.13</v>
      </c>
      <c r="K171" s="321">
        <f>Assumptions!$H$97+Assumptions!F114</f>
        <v>0.13</v>
      </c>
      <c r="L171" s="321">
        <f>Assumptions!$H$97+Assumptions!G114</f>
        <v>0.13</v>
      </c>
      <c r="M171" s="321">
        <f>Assumptions!$H$97+Assumptions!H114</f>
        <v>0.13</v>
      </c>
      <c r="N171" s="321">
        <f>Assumptions!$H$97+Assumptions!I114</f>
        <v>0.13</v>
      </c>
    </row>
    <row r="172" spans="2:14" x14ac:dyDescent="0.35">
      <c r="B172" s="54"/>
    </row>
    <row r="173" spans="2:14" x14ac:dyDescent="0.35">
      <c r="B173" t="s">
        <v>356</v>
      </c>
      <c r="E173" s="18"/>
      <c r="F173" s="18"/>
      <c r="G173" s="18"/>
      <c r="H173" s="182"/>
      <c r="I173" s="7">
        <f>I178+I184</f>
        <v>431767</v>
      </c>
      <c r="J173" s="7">
        <f>I176</f>
        <v>431767</v>
      </c>
      <c r="K173" s="7">
        <f>J176</f>
        <v>586767</v>
      </c>
      <c r="L173" s="7">
        <f>K176</f>
        <v>756767</v>
      </c>
      <c r="M173" s="7">
        <f>L176</f>
        <v>941767</v>
      </c>
      <c r="N173" s="7">
        <f>M176</f>
        <v>1141767</v>
      </c>
    </row>
    <row r="174" spans="2:14" x14ac:dyDescent="0.35">
      <c r="B174" t="s">
        <v>357</v>
      </c>
      <c r="E174" s="18"/>
      <c r="F174" s="18"/>
      <c r="G174" s="18"/>
      <c r="H174" s="205"/>
      <c r="I174" s="91">
        <v>0</v>
      </c>
      <c r="J174" s="41">
        <f>Assumptions!E62</f>
        <v>140000</v>
      </c>
      <c r="K174" s="41">
        <f>Assumptions!F62</f>
        <v>155000</v>
      </c>
      <c r="L174" s="41">
        <f>Assumptions!G62</f>
        <v>170000</v>
      </c>
      <c r="M174" s="41">
        <f>Assumptions!H62</f>
        <v>185000</v>
      </c>
      <c r="N174" s="41">
        <f>Assumptions!I62</f>
        <v>200000</v>
      </c>
    </row>
    <row r="175" spans="2:14" x14ac:dyDescent="0.35">
      <c r="B175" t="s">
        <v>485</v>
      </c>
      <c r="E175" s="18"/>
      <c r="F175" s="18"/>
      <c r="G175" s="18"/>
      <c r="H175" s="205"/>
      <c r="I175" s="91">
        <v>0</v>
      </c>
      <c r="J175" s="7">
        <f>J286</f>
        <v>15000</v>
      </c>
      <c r="K175" s="7">
        <f>K286</f>
        <v>15000</v>
      </c>
      <c r="L175" s="7">
        <f>L286</f>
        <v>15000</v>
      </c>
      <c r="M175" s="7">
        <f>M286</f>
        <v>15000</v>
      </c>
      <c r="N175" s="7">
        <f>N286</f>
        <v>15000</v>
      </c>
    </row>
    <row r="176" spans="2:14" ht="15" thickBot="1" x14ac:dyDescent="0.4">
      <c r="B176" s="54" t="s">
        <v>358</v>
      </c>
      <c r="E176" s="27"/>
      <c r="F176" s="27"/>
      <c r="G176" s="27"/>
      <c r="H176" s="98"/>
      <c r="I176" s="98">
        <f t="shared" ref="I176:N176" si="38">SUM(I173:I175)</f>
        <v>431767</v>
      </c>
      <c r="J176" s="98">
        <f t="shared" si="38"/>
        <v>586767</v>
      </c>
      <c r="K176" s="98">
        <f t="shared" si="38"/>
        <v>756767</v>
      </c>
      <c r="L176" s="98">
        <f t="shared" si="38"/>
        <v>941767</v>
      </c>
      <c r="M176" s="98">
        <f t="shared" si="38"/>
        <v>1141767</v>
      </c>
      <c r="N176" s="98">
        <f t="shared" si="38"/>
        <v>1356767</v>
      </c>
    </row>
    <row r="177" spans="2:14" x14ac:dyDescent="0.35">
      <c r="B177" s="54"/>
    </row>
    <row r="178" spans="2:14" x14ac:dyDescent="0.35">
      <c r="B178" t="s">
        <v>359</v>
      </c>
      <c r="E178" s="18"/>
      <c r="F178" s="18"/>
      <c r="G178" s="18"/>
      <c r="H178" s="205"/>
      <c r="I178" s="91">
        <v>118691</v>
      </c>
      <c r="J178" s="7">
        <f>I181</f>
        <v>118691</v>
      </c>
      <c r="K178" s="7">
        <f>J181</f>
        <v>169465.88</v>
      </c>
      <c r="L178" s="7">
        <f>K181</f>
        <v>234765.02559999999</v>
      </c>
      <c r="M178" s="7">
        <f>L181</f>
        <v>314650.28227199998</v>
      </c>
      <c r="N178" s="7">
        <f>M181</f>
        <v>409175.45557663997</v>
      </c>
    </row>
    <row r="179" spans="2:14" x14ac:dyDescent="0.35">
      <c r="B179" t="s">
        <v>486</v>
      </c>
      <c r="E179" s="18"/>
      <c r="F179" s="18"/>
      <c r="G179" s="18"/>
      <c r="H179" s="205"/>
      <c r="I179" s="91">
        <v>0</v>
      </c>
      <c r="J179" s="7">
        <f>(J183+0.5*(J174+J175))*J171</f>
        <v>50774.880000000005</v>
      </c>
      <c r="K179" s="7">
        <f>(K183+0.5*(K174+K175))*K171</f>
        <v>65299.145600000003</v>
      </c>
      <c r="L179" s="7">
        <f>(L183+0.5*(L174+L175))*L171</f>
        <v>79885.256672000003</v>
      </c>
      <c r="M179" s="7">
        <f>(M183+0.5*(M174+M175))*M171</f>
        <v>94525.173304640004</v>
      </c>
      <c r="N179" s="7">
        <f>(N183+0.5*(N174+N175))*N171</f>
        <v>109211.9007750368</v>
      </c>
    </row>
    <row r="180" spans="2:14" x14ac:dyDescent="0.35">
      <c r="B180" t="s">
        <v>360</v>
      </c>
      <c r="E180" s="18"/>
      <c r="F180" s="18"/>
      <c r="G180" s="18"/>
      <c r="H180" s="205"/>
      <c r="I180" s="91">
        <v>0</v>
      </c>
      <c r="J180" s="91">
        <v>0</v>
      </c>
      <c r="K180" s="91">
        <v>0</v>
      </c>
      <c r="L180" s="91">
        <v>0</v>
      </c>
      <c r="M180" s="91">
        <v>0</v>
      </c>
      <c r="N180" s="91">
        <v>0</v>
      </c>
    </row>
    <row r="181" spans="2:14" ht="15" thickBot="1" x14ac:dyDescent="0.4">
      <c r="B181" s="54" t="s">
        <v>1115</v>
      </c>
      <c r="E181" s="27"/>
      <c r="F181" s="27"/>
      <c r="G181" s="27"/>
      <c r="H181" s="98"/>
      <c r="I181" s="98">
        <f t="shared" ref="I181:N181" si="39">SUM(I178:I180)</f>
        <v>118691</v>
      </c>
      <c r="J181" s="98">
        <f t="shared" si="39"/>
        <v>169465.88</v>
      </c>
      <c r="K181" s="98">
        <f t="shared" si="39"/>
        <v>234765.02559999999</v>
      </c>
      <c r="L181" s="98">
        <f t="shared" si="39"/>
        <v>314650.28227199998</v>
      </c>
      <c r="M181" s="98">
        <f t="shared" si="39"/>
        <v>409175.45557663997</v>
      </c>
      <c r="N181" s="98">
        <f t="shared" si="39"/>
        <v>518387.35635167675</v>
      </c>
    </row>
    <row r="182" spans="2:14" x14ac:dyDescent="0.35">
      <c r="B182" s="54"/>
    </row>
    <row r="183" spans="2:14" x14ac:dyDescent="0.35">
      <c r="B183" t="s">
        <v>361</v>
      </c>
      <c r="I183" s="95"/>
      <c r="J183" s="7">
        <f>I184</f>
        <v>313076</v>
      </c>
      <c r="K183" s="7">
        <f>J184</f>
        <v>417301.12</v>
      </c>
      <c r="L183" s="7">
        <f>K184</f>
        <v>522001.97440000001</v>
      </c>
      <c r="M183" s="7">
        <f>L184</f>
        <v>627116.71772800002</v>
      </c>
      <c r="N183" s="7">
        <f>M184</f>
        <v>732591.54442336003</v>
      </c>
    </row>
    <row r="184" spans="2:14" ht="15" thickBot="1" x14ac:dyDescent="0.4">
      <c r="B184" s="54" t="s">
        <v>362</v>
      </c>
      <c r="D184" s="95"/>
      <c r="E184" s="98">
        <f>E98</f>
        <v>74398</v>
      </c>
      <c r="F184" s="98">
        <f>F98</f>
        <v>95641</v>
      </c>
      <c r="G184" s="98">
        <f>G98</f>
        <v>135591</v>
      </c>
      <c r="H184" s="98">
        <f>H98</f>
        <v>204966</v>
      </c>
      <c r="I184" s="98">
        <f>I98</f>
        <v>313076</v>
      </c>
      <c r="J184" s="98">
        <f>J176-J181</f>
        <v>417301.12</v>
      </c>
      <c r="K184" s="98">
        <f>K176-K181</f>
        <v>522001.97440000001</v>
      </c>
      <c r="L184" s="98">
        <f>L176-L181</f>
        <v>627116.71772800002</v>
      </c>
      <c r="M184" s="98">
        <f>M176-M181</f>
        <v>732591.54442336003</v>
      </c>
      <c r="N184" s="98">
        <f>N176-N181</f>
        <v>838379.64364832325</v>
      </c>
    </row>
    <row r="185" spans="2:14" x14ac:dyDescent="0.35">
      <c r="B185" s="54" t="s">
        <v>363</v>
      </c>
      <c r="E185" s="4"/>
      <c r="F185" s="4"/>
      <c r="G185" s="4"/>
      <c r="H185" s="7"/>
      <c r="I185" s="7">
        <f t="shared" ref="I185:N185" si="40">I176-I181-I184</f>
        <v>0</v>
      </c>
      <c r="J185" s="7">
        <f t="shared" si="40"/>
        <v>0</v>
      </c>
      <c r="K185" s="7">
        <f t="shared" si="40"/>
        <v>0</v>
      </c>
      <c r="L185" s="7">
        <f t="shared" si="40"/>
        <v>0</v>
      </c>
      <c r="M185" s="7">
        <f t="shared" si="40"/>
        <v>0</v>
      </c>
      <c r="N185" s="7">
        <f t="shared" si="40"/>
        <v>0</v>
      </c>
    </row>
    <row r="186" spans="2:14" x14ac:dyDescent="0.35">
      <c r="E186" s="4"/>
      <c r="F186" s="4"/>
      <c r="G186" s="4"/>
      <c r="H186" s="4"/>
      <c r="I186" s="4"/>
    </row>
    <row r="187" spans="2:14" x14ac:dyDescent="0.35">
      <c r="E187" s="57" t="s">
        <v>3</v>
      </c>
      <c r="F187" s="58"/>
      <c r="G187" s="58"/>
      <c r="H187" s="58"/>
      <c r="I187" s="57" t="s">
        <v>1113</v>
      </c>
      <c r="J187" s="59"/>
      <c r="K187" s="59"/>
      <c r="L187" s="59"/>
      <c r="M187" s="59"/>
      <c r="N187" s="59"/>
    </row>
    <row r="188" spans="2:14" x14ac:dyDescent="0.35">
      <c r="B188" s="54" t="s">
        <v>364</v>
      </c>
      <c r="E188" s="62" t="str">
        <f>(2021+COLUMN()-COLUMN($D$7))&amp;IF(COLUMN()-COLUMN($D$7)&lt;5,"A","E")</f>
        <v>2022A</v>
      </c>
      <c r="F188" s="62" t="str">
        <f>(2021+COLUMN()-COLUMN($D$7))&amp;IF(COLUMN()-COLUMN($D$7)&lt;5,"A","E")</f>
        <v>2023A</v>
      </c>
      <c r="G188" s="62" t="str">
        <f>(2021+COLUMN()-COLUMN($D$7))&amp;IF(COLUMN()-COLUMN($D$7)&lt;5,"A","E")</f>
        <v>2024A</v>
      </c>
      <c r="H188" s="62" t="str">
        <f>(2021+COLUMN()-COLUMN($D$7))&amp;IF(COLUMN()-COLUMN($D$7)&lt;5,"A","E")</f>
        <v>2025A</v>
      </c>
      <c r="I188" s="62" t="s">
        <v>5</v>
      </c>
      <c r="J188" s="63" t="str">
        <f>(2021+COLUMN()-COLUMN($D$7))&amp;IF(COLUMN()-COLUMN($D$7)&lt;5,"A","E")</f>
        <v>2027E</v>
      </c>
      <c r="K188" s="63" t="str">
        <f>(2021+COLUMN()-COLUMN($D$7))&amp;IF(COLUMN()-COLUMN($D$7)&lt;5,"A","E")</f>
        <v>2028E</v>
      </c>
      <c r="L188" s="63" t="str">
        <f>(2021+COLUMN()-COLUMN($D$7))&amp;IF(COLUMN()-COLUMN($D$7)&lt;5,"A","E")</f>
        <v>2029E</v>
      </c>
      <c r="M188" s="63" t="str">
        <f>(2021+COLUMN()-COLUMN($D$7))&amp;IF(COLUMN()-COLUMN($D$7)&lt;5,"A","E")</f>
        <v>2030E</v>
      </c>
      <c r="N188" s="63" t="str">
        <f>(2021+COLUMN()-COLUMN($D$7))&amp;IF(COLUMN()-COLUMN($D$7)&lt;5,"A","E")</f>
        <v>2031E</v>
      </c>
    </row>
    <row r="190" spans="2:14" x14ac:dyDescent="0.35">
      <c r="B190" t="s">
        <v>365</v>
      </c>
      <c r="D190" s="87"/>
      <c r="E190" s="91">
        <v>365</v>
      </c>
      <c r="F190" s="91">
        <v>365</v>
      </c>
      <c r="G190" s="91">
        <v>365</v>
      </c>
      <c r="H190" s="91">
        <v>365</v>
      </c>
      <c r="I190" s="91">
        <v>365</v>
      </c>
      <c r="J190" s="91">
        <v>365</v>
      </c>
      <c r="K190" s="91">
        <v>365</v>
      </c>
      <c r="L190" s="91">
        <v>365</v>
      </c>
      <c r="M190" s="91">
        <v>365</v>
      </c>
      <c r="N190" s="91">
        <v>365</v>
      </c>
    </row>
    <row r="191" spans="2:14" x14ac:dyDescent="0.35">
      <c r="B191" t="s">
        <v>344</v>
      </c>
      <c r="D191" s="95"/>
      <c r="E191" s="7">
        <f t="shared" ref="E191:N191" si="41">E147</f>
        <v>198270</v>
      </c>
      <c r="F191" s="7">
        <f t="shared" si="41"/>
        <v>211915</v>
      </c>
      <c r="G191" s="7">
        <f t="shared" si="41"/>
        <v>245122</v>
      </c>
      <c r="H191" s="7">
        <f t="shared" si="41"/>
        <v>281724</v>
      </c>
      <c r="I191" s="7">
        <f t="shared" si="41"/>
        <v>331839</v>
      </c>
      <c r="J191" s="7">
        <f t="shared" si="41"/>
        <v>390029.04000000004</v>
      </c>
      <c r="K191" s="7">
        <f t="shared" si="41"/>
        <v>460285.55000000005</v>
      </c>
      <c r="L191" s="7">
        <f t="shared" si="41"/>
        <v>536514.81760800013</v>
      </c>
      <c r="M191" s="7">
        <f t="shared" si="41"/>
        <v>618218.80101624015</v>
      </c>
      <c r="N191" s="7">
        <f t="shared" si="41"/>
        <v>702027.22087776731</v>
      </c>
    </row>
    <row r="192" spans="2:14" x14ac:dyDescent="0.35">
      <c r="B192" t="s">
        <v>10</v>
      </c>
      <c r="D192" s="95"/>
      <c r="E192" s="7">
        <f t="shared" ref="E192:N192" si="42">E157</f>
        <v>62650</v>
      </c>
      <c r="F192" s="7">
        <f t="shared" si="42"/>
        <v>65863</v>
      </c>
      <c r="G192" s="7">
        <f t="shared" si="42"/>
        <v>74114</v>
      </c>
      <c r="H192" s="7">
        <f t="shared" si="42"/>
        <v>87831</v>
      </c>
      <c r="I192" s="7">
        <f t="shared" si="42"/>
        <v>106374</v>
      </c>
      <c r="J192" s="7">
        <f t="shared" si="42"/>
        <v>134169.98976</v>
      </c>
      <c r="K192" s="7">
        <f t="shared" si="42"/>
        <v>158338.2292</v>
      </c>
      <c r="L192" s="7">
        <f t="shared" si="42"/>
        <v>183488.06762193603</v>
      </c>
      <c r="M192" s="7">
        <f t="shared" si="42"/>
        <v>210194.39234552163</v>
      </c>
      <c r="N192" s="7">
        <f t="shared" si="42"/>
        <v>237285.20065668534</v>
      </c>
    </row>
    <row r="195" spans="2:14" x14ac:dyDescent="0.35">
      <c r="B195" s="54" t="s">
        <v>366</v>
      </c>
    </row>
    <row r="196" spans="2:14" x14ac:dyDescent="0.35">
      <c r="B196" s="1" t="s">
        <v>315</v>
      </c>
      <c r="D196" s="95"/>
      <c r="E196" s="7">
        <f>(E201/E191)*E190</f>
        <v>81.481136833610734</v>
      </c>
      <c r="F196" s="7">
        <f>(F201/F191)*F190</f>
        <v>83.859660713021725</v>
      </c>
      <c r="G196" s="7">
        <f>(G201/G191)*G190</f>
        <v>84.762934375535451</v>
      </c>
      <c r="H196" s="7">
        <f>(H201/H191)*H190</f>
        <v>90.568517414206809</v>
      </c>
      <c r="I196" s="7">
        <f>(I201/I191)*I190</f>
        <v>88.958018798272661</v>
      </c>
      <c r="J196" s="41">
        <f>Assumptions!E72</f>
        <v>89</v>
      </c>
      <c r="K196" s="41">
        <f>Assumptions!F72</f>
        <v>89</v>
      </c>
      <c r="L196" s="41">
        <f>Assumptions!G72</f>
        <v>88</v>
      </c>
      <c r="M196" s="41">
        <f>Assumptions!H72</f>
        <v>88</v>
      </c>
      <c r="N196" s="41">
        <f>Assumptions!I72</f>
        <v>87</v>
      </c>
    </row>
    <row r="197" spans="2:14" x14ac:dyDescent="0.35">
      <c r="B197" s="1" t="s">
        <v>317</v>
      </c>
      <c r="D197" s="95"/>
      <c r="E197" s="7">
        <f>(E202/E192)*E190</f>
        <v>21.80095770151636</v>
      </c>
      <c r="F197" s="7">
        <f>(F202/F192)*F190</f>
        <v>13.854516192703034</v>
      </c>
      <c r="G197" s="7">
        <f>(G202/G192)*G190</f>
        <v>6.1363575033057183</v>
      </c>
      <c r="H197" s="7">
        <f>(H202/H192)*H190</f>
        <v>3.8980542177591055</v>
      </c>
      <c r="I197" s="7">
        <f>(I202/I192)*I190</f>
        <v>4.7935115723767083</v>
      </c>
      <c r="J197" s="41">
        <f>Assumptions!E82</f>
        <v>5</v>
      </c>
      <c r="K197" s="41">
        <f>Assumptions!F82</f>
        <v>5</v>
      </c>
      <c r="L197" s="41">
        <f>Assumptions!G82</f>
        <v>5</v>
      </c>
      <c r="M197" s="41">
        <f>Assumptions!H82</f>
        <v>5</v>
      </c>
      <c r="N197" s="41">
        <f>Assumptions!I82</f>
        <v>5</v>
      </c>
    </row>
    <row r="198" spans="2:14" x14ac:dyDescent="0.35">
      <c r="B198" s="1" t="s">
        <v>316</v>
      </c>
      <c r="D198" s="95"/>
      <c r="E198" s="7">
        <f>(E203/E192)*E190</f>
        <v>110.69433359936153</v>
      </c>
      <c r="F198" s="7">
        <f>(F203/F192)*F190</f>
        <v>100.27898820278456</v>
      </c>
      <c r="G198" s="7">
        <f>(G203/G192)*G190</f>
        <v>108.32690179992984</v>
      </c>
      <c r="H198" s="7">
        <f>(H203/H192)*H190</f>
        <v>115.21285195432137</v>
      </c>
      <c r="I198" s="7">
        <f>(I203/I192)*I190</f>
        <v>145.54157970932746</v>
      </c>
      <c r="J198" s="41">
        <f>Assumptions!E77</f>
        <v>140</v>
      </c>
      <c r="K198" s="41">
        <f>Assumptions!F77</f>
        <v>135</v>
      </c>
      <c r="L198" s="41">
        <f>Assumptions!G77</f>
        <v>130</v>
      </c>
      <c r="M198" s="41">
        <f>Assumptions!H77</f>
        <v>125</v>
      </c>
      <c r="N198" s="41">
        <f>Assumptions!I77</f>
        <v>120</v>
      </c>
    </row>
    <row r="200" spans="2:14" x14ac:dyDescent="0.35">
      <c r="B200" s="54" t="s">
        <v>367</v>
      </c>
    </row>
    <row r="201" spans="2:14" x14ac:dyDescent="0.35">
      <c r="B201" s="1" t="s">
        <v>315</v>
      </c>
      <c r="D201" s="95"/>
      <c r="E201" s="7">
        <f t="shared" ref="E201:I202" si="43">E94</f>
        <v>44261</v>
      </c>
      <c r="F201" s="7">
        <f t="shared" si="43"/>
        <v>48688</v>
      </c>
      <c r="G201" s="7">
        <f t="shared" si="43"/>
        <v>56924</v>
      </c>
      <c r="H201" s="7">
        <f t="shared" si="43"/>
        <v>69905</v>
      </c>
      <c r="I201" s="7">
        <f t="shared" si="43"/>
        <v>80876</v>
      </c>
      <c r="J201" s="7">
        <f>(J191*J196)/J190</f>
        <v>95102.971397260277</v>
      </c>
      <c r="K201" s="7">
        <f>(K191*K196)/K190</f>
        <v>112234.01082191782</v>
      </c>
      <c r="L201" s="7">
        <f>(L191*L196)/L190</f>
        <v>129351.517669874</v>
      </c>
      <c r="M201" s="7">
        <f>(M191*M196)/M190</f>
        <v>149050.01229980585</v>
      </c>
      <c r="N201" s="7">
        <f>(N191*N196)/N190</f>
        <v>167332.51566127603</v>
      </c>
    </row>
    <row r="202" spans="2:14" x14ac:dyDescent="0.35">
      <c r="B202" s="1" t="s">
        <v>317</v>
      </c>
      <c r="D202" s="95"/>
      <c r="E202" s="7">
        <f t="shared" si="43"/>
        <v>3742</v>
      </c>
      <c r="F202" s="7">
        <f t="shared" si="43"/>
        <v>2500</v>
      </c>
      <c r="G202" s="7">
        <f t="shared" si="43"/>
        <v>1246</v>
      </c>
      <c r="H202" s="7">
        <f t="shared" si="43"/>
        <v>938</v>
      </c>
      <c r="I202" s="7">
        <f t="shared" si="43"/>
        <v>1397</v>
      </c>
      <c r="J202" s="7">
        <f>(J192*J197)/J190</f>
        <v>1837.9450652054795</v>
      </c>
      <c r="K202" s="7">
        <f>(K192*K197)/K190</f>
        <v>2169.016838356164</v>
      </c>
      <c r="L202" s="7">
        <f>(L192*L197)/L190</f>
        <v>2513.5351729032336</v>
      </c>
      <c r="M202" s="7">
        <f>(M192*M197)/M190</f>
        <v>2879.3752376098855</v>
      </c>
      <c r="N202" s="7">
        <f>(N192*N197)/N190</f>
        <v>3250.4822007765115</v>
      </c>
    </row>
    <row r="203" spans="2:14" x14ac:dyDescent="0.35">
      <c r="B203" s="1" t="s">
        <v>316</v>
      </c>
      <c r="D203" s="95"/>
      <c r="E203" s="7">
        <f>E106</f>
        <v>19000</v>
      </c>
      <c r="F203" s="7">
        <f>F106</f>
        <v>18095</v>
      </c>
      <c r="G203" s="7">
        <f>G106</f>
        <v>21996</v>
      </c>
      <c r="H203" s="7">
        <f>H106</f>
        <v>27724</v>
      </c>
      <c r="I203" s="7">
        <f>I106</f>
        <v>42416</v>
      </c>
      <c r="J203" s="7">
        <f>(J192*J198)/J190</f>
        <v>51462.461825753424</v>
      </c>
      <c r="K203" s="7">
        <f>(K192*K198)/K190</f>
        <v>58563.454635616443</v>
      </c>
      <c r="L203" s="7">
        <f>(L192*L198)/L190</f>
        <v>65351.914495484059</v>
      </c>
      <c r="M203" s="7">
        <f>(M192*M198)/M190</f>
        <v>71984.380940247138</v>
      </c>
      <c r="N203" s="7">
        <f>(N192*N198)/N190</f>
        <v>78011.572818636268</v>
      </c>
    </row>
    <row r="204" spans="2:14" x14ac:dyDescent="0.35">
      <c r="B204" s="1"/>
    </row>
    <row r="205" spans="2:14" x14ac:dyDescent="0.35">
      <c r="B205" s="1" t="s">
        <v>368</v>
      </c>
    </row>
    <row r="206" spans="2:14" x14ac:dyDescent="0.35">
      <c r="B206" s="200" t="s">
        <v>369</v>
      </c>
      <c r="H206" s="95"/>
      <c r="I206" s="7">
        <f>I115+I111</f>
        <v>75712</v>
      </c>
      <c r="J206" s="41">
        <f>J191*Assumptions!$H$92</f>
        <v>85806.388800000015</v>
      </c>
      <c r="K206" s="41">
        <f>K191*Assumptions!$H$92</f>
        <v>101262.82100000001</v>
      </c>
      <c r="L206" s="41">
        <f>L191*Assumptions!$H$92</f>
        <v>118033.25987376003</v>
      </c>
      <c r="M206" s="41">
        <f>M191*Assumptions!$H$92</f>
        <v>136008.13622357283</v>
      </c>
      <c r="N206" s="41">
        <f>N191*Assumptions!$H$92</f>
        <v>154445.98859310881</v>
      </c>
    </row>
    <row r="207" spans="2:14" x14ac:dyDescent="0.35">
      <c r="B207" s="1"/>
    </row>
    <row r="208" spans="2:14" ht="15" thickBot="1" x14ac:dyDescent="0.4">
      <c r="B208" s="55" t="s">
        <v>370</v>
      </c>
      <c r="E208" s="190"/>
      <c r="F208" s="190"/>
      <c r="G208" s="190"/>
      <c r="H208" s="190"/>
      <c r="I208" s="66"/>
      <c r="J208" s="98">
        <f>J201+J202-J203-J206</f>
        <v>-40327.934163287682</v>
      </c>
      <c r="K208" s="98">
        <f>K201+K202-K203-K206</f>
        <v>-45423.247975342463</v>
      </c>
      <c r="L208" s="98">
        <f>L201+L202-L203-L206</f>
        <v>-51520.121526466872</v>
      </c>
      <c r="M208" s="98">
        <f>M201+M202-M203-M206</f>
        <v>-56063.129626404247</v>
      </c>
      <c r="N208" s="98">
        <f>N201+N202-N203-N206</f>
        <v>-61874.563549692524</v>
      </c>
    </row>
    <row r="210" spans="2:14" x14ac:dyDescent="0.35">
      <c r="B210" s="201" t="s">
        <v>371</v>
      </c>
    </row>
    <row r="211" spans="2:14" x14ac:dyDescent="0.35">
      <c r="B211" s="200" t="s">
        <v>372</v>
      </c>
      <c r="I211" s="95"/>
      <c r="J211" s="7">
        <f t="shared" ref="J211:N212" si="44">I201-J201</f>
        <v>-14226.971397260277</v>
      </c>
      <c r="K211" s="7">
        <f t="shared" si="44"/>
        <v>-17131.039424657545</v>
      </c>
      <c r="L211" s="7">
        <f t="shared" si="44"/>
        <v>-17117.506847956174</v>
      </c>
      <c r="M211" s="7">
        <f t="shared" si="44"/>
        <v>-19698.494629931854</v>
      </c>
      <c r="N211" s="7">
        <f t="shared" si="44"/>
        <v>-18282.503361470182</v>
      </c>
    </row>
    <row r="212" spans="2:14" x14ac:dyDescent="0.35">
      <c r="B212" s="200" t="s">
        <v>317</v>
      </c>
      <c r="I212" s="95"/>
      <c r="J212" s="7">
        <f t="shared" si="44"/>
        <v>-440.94506520547952</v>
      </c>
      <c r="K212" s="7">
        <f t="shared" si="44"/>
        <v>-331.07177315068452</v>
      </c>
      <c r="L212" s="7">
        <f t="shared" si="44"/>
        <v>-344.51833454706957</v>
      </c>
      <c r="M212" s="7">
        <f t="shared" si="44"/>
        <v>-365.8400647066519</v>
      </c>
      <c r="N212" s="7">
        <f t="shared" si="44"/>
        <v>-371.10696316662597</v>
      </c>
    </row>
    <row r="213" spans="2:14" x14ac:dyDescent="0.35">
      <c r="B213" s="200" t="s">
        <v>373</v>
      </c>
      <c r="I213" s="95"/>
      <c r="J213" s="7">
        <f>J203-I203</f>
        <v>9046.4618257534239</v>
      </c>
      <c r="K213" s="7">
        <f>K203-J203</f>
        <v>7100.9928098630189</v>
      </c>
      <c r="L213" s="7">
        <f>L203-K203</f>
        <v>6788.4598598676166</v>
      </c>
      <c r="M213" s="7">
        <f>M203-L203</f>
        <v>6632.4664447630785</v>
      </c>
      <c r="N213" s="7">
        <f>N203-M203</f>
        <v>6027.1918783891306</v>
      </c>
    </row>
    <row r="214" spans="2:14" x14ac:dyDescent="0.35">
      <c r="B214" s="200" t="s">
        <v>369</v>
      </c>
      <c r="I214" s="95"/>
      <c r="J214" s="7">
        <f>J206-I206</f>
        <v>10094.388800000015</v>
      </c>
      <c r="K214" s="7">
        <f>K206-J206</f>
        <v>15456.432199999996</v>
      </c>
      <c r="L214" s="7">
        <f>L206-K206</f>
        <v>16770.438873760024</v>
      </c>
      <c r="M214" s="7">
        <f>M206-L206</f>
        <v>17974.876349812796</v>
      </c>
      <c r="N214" s="7">
        <f>N206-M206</f>
        <v>18437.852369535976</v>
      </c>
    </row>
    <row r="215" spans="2:14" ht="15" thickBot="1" x14ac:dyDescent="0.4">
      <c r="B215" s="202" t="s">
        <v>374</v>
      </c>
      <c r="E215" s="190"/>
      <c r="F215" s="190"/>
      <c r="G215" s="190"/>
      <c r="H215" s="190"/>
      <c r="I215" s="66"/>
      <c r="J215" s="98">
        <f>SUM(J211:J214)</f>
        <v>4472.9341632876822</v>
      </c>
      <c r="K215" s="98">
        <f>SUM(K211:K214)</f>
        <v>5095.3138120547846</v>
      </c>
      <c r="L215" s="98">
        <f>SUM(L211:L214)</f>
        <v>6096.8735511243976</v>
      </c>
      <c r="M215" s="98">
        <f>SUM(M211:M214)</f>
        <v>4543.0080999373677</v>
      </c>
      <c r="N215" s="98">
        <f>SUM(N211:N214)</f>
        <v>5811.4339232882994</v>
      </c>
    </row>
    <row r="216" spans="2:14" x14ac:dyDescent="0.35">
      <c r="B216" s="202"/>
      <c r="E216" s="70"/>
      <c r="F216" s="70"/>
      <c r="G216" s="70"/>
      <c r="H216" s="70"/>
      <c r="I216" s="294"/>
      <c r="J216" s="295"/>
      <c r="K216" s="295"/>
      <c r="L216" s="295"/>
      <c r="M216" s="295"/>
      <c r="N216" s="295"/>
    </row>
    <row r="218" spans="2:14" x14ac:dyDescent="0.35">
      <c r="E218" s="57" t="s">
        <v>3</v>
      </c>
      <c r="F218" s="58"/>
      <c r="G218" s="58"/>
      <c r="H218" s="58"/>
      <c r="I218" s="57" t="s">
        <v>1113</v>
      </c>
      <c r="J218" s="59"/>
      <c r="K218" s="59"/>
      <c r="L218" s="59"/>
      <c r="M218" s="59"/>
      <c r="N218" s="59"/>
    </row>
    <row r="219" spans="2:14" x14ac:dyDescent="0.35">
      <c r="B219" s="54" t="s">
        <v>375</v>
      </c>
      <c r="E219" s="62" t="str">
        <f>(2021+COLUMN()-COLUMN($D$7))&amp;IF(COLUMN()-COLUMN($D$7)&lt;5,"A","E")</f>
        <v>2022A</v>
      </c>
      <c r="F219" s="62" t="str">
        <f>(2021+COLUMN()-COLUMN($D$7))&amp;IF(COLUMN()-COLUMN($D$7)&lt;5,"A","E")</f>
        <v>2023A</v>
      </c>
      <c r="G219" s="62" t="str">
        <f>(2021+COLUMN()-COLUMN($D$7))&amp;IF(COLUMN()-COLUMN($D$7)&lt;5,"A","E")</f>
        <v>2024A</v>
      </c>
      <c r="H219" s="62" t="str">
        <f>(2021+COLUMN()-COLUMN($D$7))&amp;IF(COLUMN()-COLUMN($D$7)&lt;5,"A","E")</f>
        <v>2025A</v>
      </c>
      <c r="I219" s="62" t="s">
        <v>5</v>
      </c>
      <c r="J219" s="63" t="str">
        <f>(2021+COLUMN()-COLUMN($D$7))&amp;IF(COLUMN()-COLUMN($D$7)&lt;5,"A","E")</f>
        <v>2027E</v>
      </c>
      <c r="K219" s="63" t="str">
        <f>(2021+COLUMN()-COLUMN($D$7))&amp;IF(COLUMN()-COLUMN($D$7)&lt;5,"A","E")</f>
        <v>2028E</v>
      </c>
      <c r="L219" s="63" t="str">
        <f>(2021+COLUMN()-COLUMN($D$7))&amp;IF(COLUMN()-COLUMN($D$7)&lt;5,"A","E")</f>
        <v>2029E</v>
      </c>
      <c r="M219" s="63" t="str">
        <f>(2021+COLUMN()-COLUMN($D$7))&amp;IF(COLUMN()-COLUMN($D$7)&lt;5,"A","E")</f>
        <v>2030E</v>
      </c>
      <c r="N219" s="63" t="str">
        <f>(2021+COLUMN()-COLUMN($D$7))&amp;IF(COLUMN()-COLUMN($D$7)&lt;5,"A","E")</f>
        <v>2031E</v>
      </c>
    </row>
    <row r="221" spans="2:14" x14ac:dyDescent="0.35">
      <c r="B221" t="s">
        <v>376</v>
      </c>
      <c r="H221" s="95"/>
      <c r="I221" s="7">
        <f>I107</f>
        <v>0</v>
      </c>
    </row>
    <row r="222" spans="2:14" x14ac:dyDescent="0.35">
      <c r="B222" t="s">
        <v>377</v>
      </c>
      <c r="H222" s="95"/>
      <c r="I222" s="7">
        <f>I108</f>
        <v>9227</v>
      </c>
      <c r="J222" s="91">
        <v>3000</v>
      </c>
      <c r="K222" s="91">
        <v>1300</v>
      </c>
      <c r="L222" s="91">
        <v>2300</v>
      </c>
      <c r="M222" s="91">
        <v>2000</v>
      </c>
      <c r="N222" s="91">
        <v>0</v>
      </c>
    </row>
    <row r="223" spans="2:14" x14ac:dyDescent="0.35">
      <c r="B223" t="s">
        <v>378</v>
      </c>
      <c r="H223" s="95"/>
      <c r="I223" s="7">
        <f>I114</f>
        <v>31067</v>
      </c>
      <c r="J223" s="7">
        <f>J229-J222</f>
        <v>35094</v>
      </c>
      <c r="K223" s="7">
        <f>K229-K222</f>
        <v>33794</v>
      </c>
      <c r="L223" s="7">
        <f>L229-L222</f>
        <v>31494</v>
      </c>
      <c r="M223" s="7">
        <f>M229-M222</f>
        <v>29494</v>
      </c>
      <c r="N223" s="7">
        <f>N229-N222</f>
        <v>29494</v>
      </c>
    </row>
    <row r="224" spans="2:14" ht="15" thickBot="1" x14ac:dyDescent="0.4">
      <c r="B224" s="54" t="s">
        <v>379</v>
      </c>
      <c r="E224" s="190"/>
      <c r="F224" s="190"/>
      <c r="G224" s="190"/>
      <c r="H224" s="66"/>
      <c r="I224" s="98">
        <f>SUM(I221:I223)</f>
        <v>40294</v>
      </c>
      <c r="J224" s="98">
        <f>J222+J223</f>
        <v>38094</v>
      </c>
      <c r="K224" s="98">
        <f>K222+K223</f>
        <v>35094</v>
      </c>
      <c r="L224" s="98">
        <f>L222+L223</f>
        <v>33794</v>
      </c>
      <c r="M224" s="98">
        <f>M222+M223</f>
        <v>31494</v>
      </c>
      <c r="N224" s="98">
        <f>N222+N223</f>
        <v>29494</v>
      </c>
    </row>
    <row r="225" spans="2:14" x14ac:dyDescent="0.35">
      <c r="B225" s="54"/>
      <c r="I225" s="4"/>
      <c r="J225" s="4"/>
      <c r="K225" s="4"/>
      <c r="L225" s="4"/>
      <c r="M225" s="4"/>
      <c r="N225" s="4"/>
    </row>
    <row r="226" spans="2:14" x14ac:dyDescent="0.35">
      <c r="B226" t="s">
        <v>380</v>
      </c>
      <c r="I226" s="7"/>
      <c r="J226" s="7">
        <f>I229</f>
        <v>40294</v>
      </c>
      <c r="K226" s="7">
        <f>J229</f>
        <v>38094</v>
      </c>
      <c r="L226" s="7">
        <f>K229</f>
        <v>35094</v>
      </c>
      <c r="M226" s="7">
        <f>L229</f>
        <v>33794</v>
      </c>
      <c r="N226" s="7">
        <f>M229</f>
        <v>31494</v>
      </c>
    </row>
    <row r="227" spans="2:14" x14ac:dyDescent="0.35">
      <c r="B227" t="s">
        <v>381</v>
      </c>
      <c r="E227" s="4"/>
      <c r="F227" s="4"/>
      <c r="G227" s="4"/>
      <c r="H227" s="91"/>
      <c r="I227" s="91">
        <v>0</v>
      </c>
      <c r="J227" s="91">
        <v>-2200</v>
      </c>
      <c r="K227" s="91">
        <v>-3000</v>
      </c>
      <c r="L227" s="91">
        <v>-1300</v>
      </c>
      <c r="M227" s="91">
        <v>-2300</v>
      </c>
      <c r="N227" s="91">
        <v>-2000</v>
      </c>
    </row>
    <row r="228" spans="2:14" x14ac:dyDescent="0.35">
      <c r="B228" t="s">
        <v>382</v>
      </c>
      <c r="E228" s="4"/>
      <c r="F228" s="4"/>
      <c r="G228" s="4"/>
      <c r="H228" s="91"/>
      <c r="I228" s="91">
        <v>0</v>
      </c>
      <c r="J228" s="91">
        <v>0</v>
      </c>
      <c r="K228" s="91">
        <v>0</v>
      </c>
      <c r="L228" s="91">
        <v>0</v>
      </c>
      <c r="M228" s="91">
        <v>0</v>
      </c>
      <c r="N228" s="91">
        <v>0</v>
      </c>
    </row>
    <row r="229" spans="2:14" ht="15" thickBot="1" x14ac:dyDescent="0.4">
      <c r="B229" s="54" t="s">
        <v>383</v>
      </c>
      <c r="E229" s="190"/>
      <c r="F229" s="190"/>
      <c r="G229" s="190"/>
      <c r="H229" s="66"/>
      <c r="I229" s="98">
        <f>I224-I227-I228</f>
        <v>40294</v>
      </c>
      <c r="J229" s="98">
        <f>J226+J227+J228</f>
        <v>38094</v>
      </c>
      <c r="K229" s="98">
        <f>K226+K227+K228</f>
        <v>35094</v>
      </c>
      <c r="L229" s="98">
        <f>L226+L227+L228</f>
        <v>33794</v>
      </c>
      <c r="M229" s="98">
        <f>M226+M227+M228</f>
        <v>31494</v>
      </c>
      <c r="N229" s="98">
        <f>N226+N227+N228</f>
        <v>29494</v>
      </c>
    </row>
    <row r="231" spans="2:14" x14ac:dyDescent="0.35">
      <c r="B231" t="s">
        <v>384</v>
      </c>
      <c r="I231" s="95"/>
      <c r="J231" s="7">
        <f>(J226+J229)/2</f>
        <v>39194</v>
      </c>
      <c r="K231" s="7">
        <f>(K226+K229)/2</f>
        <v>36594</v>
      </c>
      <c r="L231" s="7">
        <f>(L226+L229)/2</f>
        <v>34444</v>
      </c>
      <c r="M231" s="7">
        <f>(M226+M229)/2</f>
        <v>32644</v>
      </c>
      <c r="N231" s="7">
        <f>(N226+N229)/2</f>
        <v>30494</v>
      </c>
    </row>
    <row r="232" spans="2:14" x14ac:dyDescent="0.35">
      <c r="B232" t="s">
        <v>320</v>
      </c>
      <c r="I232" s="95"/>
      <c r="J232" s="321">
        <f>Assumptions!$H$88</f>
        <v>0.05</v>
      </c>
      <c r="K232" s="321">
        <f>Assumptions!$H$88</f>
        <v>0.05</v>
      </c>
      <c r="L232" s="321">
        <f>Assumptions!$H$88</f>
        <v>0.05</v>
      </c>
      <c r="M232" s="321">
        <f>Assumptions!$H$88</f>
        <v>0.05</v>
      </c>
      <c r="N232" s="321">
        <f>Assumptions!$H$88</f>
        <v>0.05</v>
      </c>
    </row>
    <row r="233" spans="2:14" x14ac:dyDescent="0.35">
      <c r="B233" t="s">
        <v>385</v>
      </c>
      <c r="I233" s="95"/>
      <c r="J233" s="7">
        <f>J231*J232</f>
        <v>1959.7</v>
      </c>
      <c r="K233" s="7">
        <f>K231*K232</f>
        <v>1829.7</v>
      </c>
      <c r="L233" s="7">
        <f>L231*L232</f>
        <v>1722.2</v>
      </c>
      <c r="M233" s="7">
        <f>M231*M232</f>
        <v>1632.2</v>
      </c>
      <c r="N233" s="7">
        <f>N231*N232</f>
        <v>1524.7</v>
      </c>
    </row>
    <row r="235" spans="2:14" ht="15" thickBot="1" x14ac:dyDescent="0.4">
      <c r="B235" s="54" t="s">
        <v>386</v>
      </c>
      <c r="E235" s="190"/>
      <c r="F235" s="190"/>
      <c r="G235" s="190"/>
      <c r="H235" s="190"/>
      <c r="I235" s="66"/>
      <c r="J235" s="98">
        <f>J224-J91</f>
        <v>-3894.9424811993958</v>
      </c>
      <c r="K235" s="98">
        <f>K224-K91</f>
        <v>-41022.280334140407</v>
      </c>
      <c r="L235" s="98">
        <f>L224-L91</f>
        <v>-103159.25417470344</v>
      </c>
      <c r="M235" s="98">
        <f>M224-M91</f>
        <v>-189997.34904559419</v>
      </c>
      <c r="N235" s="98">
        <f>N224-N91</f>
        <v>-307509.69664075924</v>
      </c>
    </row>
    <row r="238" spans="2:14" x14ac:dyDescent="0.35">
      <c r="E238" s="57" t="s">
        <v>3</v>
      </c>
      <c r="F238" s="58"/>
      <c r="G238" s="58"/>
      <c r="H238" s="58"/>
      <c r="I238" s="57" t="s">
        <v>1113</v>
      </c>
      <c r="J238" s="59"/>
      <c r="K238" s="59"/>
      <c r="L238" s="59"/>
      <c r="M238" s="59"/>
      <c r="N238" s="59"/>
    </row>
    <row r="239" spans="2:14" x14ac:dyDescent="0.35">
      <c r="B239" s="54" t="s">
        <v>387</v>
      </c>
      <c r="E239" s="62" t="str">
        <f>(2021+COLUMN()-COLUMN($D$7))&amp;IF(COLUMN()-COLUMN($D$7)&lt;5,"A","E")</f>
        <v>2022A</v>
      </c>
      <c r="F239" s="62" t="str">
        <f>(2021+COLUMN()-COLUMN($D$7))&amp;IF(COLUMN()-COLUMN($D$7)&lt;5,"A","E")</f>
        <v>2023A</v>
      </c>
      <c r="G239" s="62" t="str">
        <f>(2021+COLUMN()-COLUMN($D$7))&amp;IF(COLUMN()-COLUMN($D$7)&lt;5,"A","E")</f>
        <v>2024A</v>
      </c>
      <c r="H239" s="62" t="str">
        <f>(2021+COLUMN()-COLUMN($D$7))&amp;IF(COLUMN()-COLUMN($D$7)&lt;5,"A","E")</f>
        <v>2025A</v>
      </c>
      <c r="I239" s="62" t="s">
        <v>5</v>
      </c>
      <c r="J239" s="63" t="str">
        <f>(2021+COLUMN()-COLUMN($D$7))&amp;IF(COLUMN()-COLUMN($D$7)&lt;5,"A","E")</f>
        <v>2027E</v>
      </c>
      <c r="K239" s="63" t="str">
        <f>(2021+COLUMN()-COLUMN($D$7))&amp;IF(COLUMN()-COLUMN($D$7)&lt;5,"A","E")</f>
        <v>2028E</v>
      </c>
      <c r="L239" s="63" t="str">
        <f>(2021+COLUMN()-COLUMN($D$7))&amp;IF(COLUMN()-COLUMN($D$7)&lt;5,"A","E")</f>
        <v>2029E</v>
      </c>
      <c r="M239" s="63" t="str">
        <f>(2021+COLUMN()-COLUMN($D$7))&amp;IF(COLUMN()-COLUMN($D$7)&lt;5,"A","E")</f>
        <v>2030E</v>
      </c>
      <c r="N239" s="63" t="str">
        <f>(2021+COLUMN()-COLUMN($D$7))&amp;IF(COLUMN()-COLUMN($D$7)&lt;5,"A","E")</f>
        <v>2031E</v>
      </c>
    </row>
    <row r="241" spans="2:14" x14ac:dyDescent="0.35">
      <c r="B241" s="54" t="s">
        <v>388</v>
      </c>
    </row>
    <row r="242" spans="2:14" x14ac:dyDescent="0.35">
      <c r="B242" t="s">
        <v>389</v>
      </c>
      <c r="H242" s="95"/>
      <c r="I242" s="41">
        <f>Assumptions!L88</f>
        <v>7425.55</v>
      </c>
      <c r="J242" s="7">
        <f>I245</f>
        <v>7425.55</v>
      </c>
      <c r="K242" s="7">
        <f>J245</f>
        <v>7411.3047559520446</v>
      </c>
      <c r="L242" s="7">
        <f>K245</f>
        <v>7397.3215059943914</v>
      </c>
      <c r="M242" s="7">
        <f>L245</f>
        <v>7383.7292349317377</v>
      </c>
      <c r="N242" s="7">
        <f>M245</f>
        <v>7370.5913342571139</v>
      </c>
    </row>
    <row r="243" spans="2:14" x14ac:dyDescent="0.35">
      <c r="B243" t="s">
        <v>623</v>
      </c>
      <c r="H243" s="87"/>
      <c r="I243" s="91">
        <v>0</v>
      </c>
      <c r="J243" s="163">
        <f>IFERROR((J242-J245)/J242,0)</f>
        <v>1.9184092825387433E-3</v>
      </c>
      <c r="K243" s="163">
        <f>IFERROR((K242-K245)/K242,0)</f>
        <v>1.8867460478430935E-3</v>
      </c>
      <c r="L243" s="163">
        <f>IFERROR((L242-L245)/L242,0)</f>
        <v>1.8374584708315386E-3</v>
      </c>
      <c r="M243" s="163">
        <f>IFERROR((M242-M245)/M242,0)</f>
        <v>1.7793042318601812E-3</v>
      </c>
      <c r="N243" s="163">
        <f>IFERROR((N242-N245)/N242,0)</f>
        <v>1.7448223485885819E-3</v>
      </c>
    </row>
    <row r="244" spans="2:14" x14ac:dyDescent="0.35">
      <c r="B244" t="s">
        <v>599</v>
      </c>
      <c r="H244" s="95"/>
      <c r="I244" s="7">
        <f>I71</f>
        <v>-20262</v>
      </c>
      <c r="J244" s="41">
        <f>Assumptions!E108/DCF!$E$13</f>
        <v>41.405529520260473</v>
      </c>
      <c r="K244" s="41">
        <f>Assumptions!F108/DCF!$E$13</f>
        <v>45.169668567556883</v>
      </c>
      <c r="L244" s="41">
        <f>Assumptions!G108/DCF!$E$13</f>
        <v>48.933807614853286</v>
      </c>
      <c r="M244" s="41">
        <f>Assumptions!H108/DCF!$E$13</f>
        <v>52.697946662149697</v>
      </c>
      <c r="N244" s="41">
        <f>Assumptions!I108/DCF!$E$13</f>
        <v>56.4620857094461</v>
      </c>
    </row>
    <row r="245" spans="2:14" x14ac:dyDescent="0.35">
      <c r="B245" s="54" t="s">
        <v>390</v>
      </c>
      <c r="H245" s="95"/>
      <c r="I245" s="7">
        <f t="shared" ref="I245" si="45">I242*(1-I243)</f>
        <v>7425.55</v>
      </c>
      <c r="J245" s="7">
        <f>J242-J244+J247</f>
        <v>7411.3047559520446</v>
      </c>
      <c r="K245" s="7">
        <f>K242-K244+K247</f>
        <v>7397.3215059943914</v>
      </c>
      <c r="L245" s="7">
        <f>L242-L244+L247</f>
        <v>7383.7292349317377</v>
      </c>
      <c r="M245" s="7">
        <f>M242-M244+M247</f>
        <v>7370.5913342571139</v>
      </c>
      <c r="N245" s="7">
        <f>N242-N244+N247</f>
        <v>7357.7309617747887</v>
      </c>
    </row>
    <row r="246" spans="2:14" ht="15" thickBot="1" x14ac:dyDescent="0.4">
      <c r="B246" s="54" t="s">
        <v>391</v>
      </c>
      <c r="E246" s="190"/>
      <c r="F246" s="190"/>
      <c r="G246" s="190"/>
      <c r="H246" s="66"/>
      <c r="I246" s="98">
        <f t="shared" ref="I246:N246" si="46">I245-I242</f>
        <v>0</v>
      </c>
      <c r="J246" s="98">
        <f t="shared" si="46"/>
        <v>-14.245244047955566</v>
      </c>
      <c r="K246" s="98">
        <f t="shared" si="46"/>
        <v>-13.983249957653243</v>
      </c>
      <c r="L246" s="98">
        <f t="shared" si="46"/>
        <v>-13.592271062653708</v>
      </c>
      <c r="M246" s="98">
        <f t="shared" si="46"/>
        <v>-13.137900674623779</v>
      </c>
      <c r="N246" s="98">
        <f t="shared" si="46"/>
        <v>-12.860372482325147</v>
      </c>
    </row>
    <row r="247" spans="2:14" x14ac:dyDescent="0.35">
      <c r="B247" t="s">
        <v>600</v>
      </c>
      <c r="I247" s="95"/>
      <c r="J247" s="41">
        <f>J255/DCF!$E$13</f>
        <v>27.160285472305347</v>
      </c>
      <c r="K247" s="41">
        <f>K255/DCF!$E$13</f>
        <v>31.186418609903448</v>
      </c>
      <c r="L247" s="41">
        <f>L255/DCF!$E$13</f>
        <v>35.341536552199209</v>
      </c>
      <c r="M247" s="41">
        <f>M255/DCF!$E$13</f>
        <v>39.560045987525953</v>
      </c>
      <c r="N247" s="41">
        <f>N255/DCF!$E$13</f>
        <v>43.60171322712123</v>
      </c>
    </row>
    <row r="248" spans="2:14" x14ac:dyDescent="0.35">
      <c r="B248" s="54" t="s">
        <v>392</v>
      </c>
    </row>
    <row r="249" spans="2:14" x14ac:dyDescent="0.35">
      <c r="B249" t="s">
        <v>393</v>
      </c>
      <c r="H249" s="95"/>
      <c r="I249" s="7">
        <f>ABS(I251)/I242</f>
        <v>3.5613523577378108</v>
      </c>
      <c r="J249" s="7">
        <f>-J251/AVERAGE(J242,J245)</f>
        <v>3.8497412826856841</v>
      </c>
      <c r="K249" s="7">
        <f>-K251/AVERAGE(K242,K245)</f>
        <v>4.5932949387601676</v>
      </c>
      <c r="L249" s="7">
        <f>-L251/AVERAGE(L242,L245)</f>
        <v>5.4570699920056027</v>
      </c>
      <c r="M249" s="7">
        <f>-M251/AVERAGE(M242,M245)</f>
        <v>6.4046070643349902</v>
      </c>
      <c r="N249" s="7">
        <f>-N251/AVERAGE(N242,N245)</f>
        <v>7.4414743757426303</v>
      </c>
    </row>
    <row r="250" spans="2:14" x14ac:dyDescent="0.35">
      <c r="B250" t="s">
        <v>394</v>
      </c>
      <c r="I250" s="95"/>
      <c r="J250" s="163">
        <f>J249/I249-1</f>
        <v>8.0977363647066758E-2</v>
      </c>
      <c r="K250" s="163">
        <f>K249/J249-1</f>
        <v>0.19314379888815814</v>
      </c>
      <c r="L250" s="163">
        <f>L249/K249-1</f>
        <v>0.18805129319185143</v>
      </c>
      <c r="M250" s="163">
        <f>M249/L249-1</f>
        <v>0.17363476622390639</v>
      </c>
      <c r="N250" s="163">
        <f>N249/M249-1</f>
        <v>0.16189397741222722</v>
      </c>
    </row>
    <row r="251" spans="2:14" ht="15" thickBot="1" x14ac:dyDescent="0.4">
      <c r="B251" s="54" t="s">
        <v>395</v>
      </c>
      <c r="E251" s="190"/>
      <c r="F251" s="190"/>
      <c r="G251" s="190"/>
      <c r="H251" s="66"/>
      <c r="I251" s="98">
        <f>I72</f>
        <v>-26445</v>
      </c>
      <c r="J251" s="51">
        <f>-Assumptions!$H$94*J33</f>
        <v>-28559.02612960001</v>
      </c>
      <c r="K251" s="51">
        <f>-Assumptions!$H$94*K33</f>
        <v>-34010.194029494734</v>
      </c>
      <c r="L251" s="51">
        <f>-Assumptions!$H$94*L33</f>
        <v>-40330.614224310084</v>
      </c>
      <c r="M251" s="51">
        <f>-Assumptions!$H$94*M33</f>
        <v>-47247.812873444986</v>
      </c>
      <c r="N251" s="51">
        <f>-Assumptions!$H$94*N33</f>
        <v>-54800.216481800133</v>
      </c>
    </row>
    <row r="253" spans="2:14" x14ac:dyDescent="0.35">
      <c r="B253" s="54" t="s">
        <v>396</v>
      </c>
    </row>
    <row r="254" spans="2:14" x14ac:dyDescent="0.35">
      <c r="B254" t="s">
        <v>397</v>
      </c>
      <c r="I254" s="95"/>
      <c r="J254" s="321">
        <f>Assumptions!E67</f>
        <v>3.6999999999999998E-2</v>
      </c>
      <c r="K254" s="321">
        <f>Assumptions!F67</f>
        <v>3.5999999999999997E-2</v>
      </c>
      <c r="L254" s="321">
        <f>Assumptions!G67</f>
        <v>3.5000000000000003E-2</v>
      </c>
      <c r="M254" s="321">
        <f>Assumptions!H67</f>
        <v>3.4000000000000002E-2</v>
      </c>
      <c r="N254" s="321">
        <f>Assumptions!I67</f>
        <v>3.3000000000000002E-2</v>
      </c>
    </row>
    <row r="255" spans="2:14" ht="15" thickBot="1" x14ac:dyDescent="0.4">
      <c r="B255" t="s">
        <v>398</v>
      </c>
      <c r="E255" s="190"/>
      <c r="F255" s="190"/>
      <c r="G255" s="190"/>
      <c r="H255" s="66"/>
      <c r="I255" s="98">
        <f>I57</f>
        <v>12405</v>
      </c>
      <c r="J255" s="98">
        <f>J147*J254</f>
        <v>14431.074480000001</v>
      </c>
      <c r="K255" s="98">
        <f>K147*K254</f>
        <v>16570.2798</v>
      </c>
      <c r="L255" s="98">
        <f>L147*L254</f>
        <v>18778.018616280006</v>
      </c>
      <c r="M255" s="98">
        <f>M147*M254</f>
        <v>21019.439234552166</v>
      </c>
      <c r="N255" s="98">
        <f>N147*N254</f>
        <v>23166.898288966324</v>
      </c>
    </row>
    <row r="257" spans="2:14" x14ac:dyDescent="0.35">
      <c r="B257" s="54" t="s">
        <v>399</v>
      </c>
    </row>
    <row r="258" spans="2:14" x14ac:dyDescent="0.35">
      <c r="B258" t="s">
        <v>400</v>
      </c>
      <c r="I258" s="7"/>
      <c r="J258" s="7">
        <f>I261</f>
        <v>328265</v>
      </c>
      <c r="K258" s="7">
        <f>J261</f>
        <v>425341.10451840004</v>
      </c>
      <c r="L258" s="7">
        <f>K261</f>
        <v>542661.88063637889</v>
      </c>
      <c r="M258" s="7">
        <f>L261</f>
        <v>683704.33753361925</v>
      </c>
      <c r="N258" s="7">
        <f>M261</f>
        <v>850855.5890273992</v>
      </c>
    </row>
    <row r="259" spans="2:14" x14ac:dyDescent="0.35">
      <c r="B259" t="s">
        <v>401</v>
      </c>
      <c r="I259" s="7"/>
      <c r="J259" s="7">
        <f>J33</f>
        <v>142795.13064800005</v>
      </c>
      <c r="K259" s="7">
        <f>K33</f>
        <v>170050.97014747365</v>
      </c>
      <c r="L259" s="7">
        <f>L33</f>
        <v>201653.0711215504</v>
      </c>
      <c r="M259" s="7">
        <f>M33</f>
        <v>236239.06436722493</v>
      </c>
      <c r="N259" s="7">
        <f>N33</f>
        <v>274001.08240900066</v>
      </c>
    </row>
    <row r="260" spans="2:14" x14ac:dyDescent="0.35">
      <c r="B260" t="s">
        <v>402</v>
      </c>
      <c r="I260" s="7"/>
      <c r="J260" s="7">
        <f>J251</f>
        <v>-28559.02612960001</v>
      </c>
      <c r="K260" s="7">
        <f>K251</f>
        <v>-34010.194029494734</v>
      </c>
      <c r="L260" s="7">
        <f>L251</f>
        <v>-40330.614224310084</v>
      </c>
      <c r="M260" s="7">
        <f>M251</f>
        <v>-47247.812873444986</v>
      </c>
      <c r="N260" s="7">
        <f>N251</f>
        <v>-54800.216481800133</v>
      </c>
    </row>
    <row r="261" spans="2:14" ht="15" thickBot="1" x14ac:dyDescent="0.4">
      <c r="B261" s="54" t="s">
        <v>403</v>
      </c>
      <c r="E261" s="190"/>
      <c r="F261" s="190"/>
      <c r="G261" s="190"/>
      <c r="H261" s="66"/>
      <c r="I261" s="98">
        <f>I123</f>
        <v>328265</v>
      </c>
      <c r="J261" s="98">
        <f>J258+J259+J260+0.78*J71</f>
        <v>425341.10451840004</v>
      </c>
      <c r="K261" s="98">
        <f>K258+K259+K260+0.78*K71</f>
        <v>542661.88063637889</v>
      </c>
      <c r="L261" s="98">
        <f>L258+L259+L260+0.78*L71</f>
        <v>683704.33753361925</v>
      </c>
      <c r="M261" s="98">
        <f>M258+M259+M260+0.78*M71</f>
        <v>850855.5890273992</v>
      </c>
      <c r="N261" s="98">
        <f>N258+N259+N260+0.78*N71</f>
        <v>1046656.4549545997</v>
      </c>
    </row>
    <row r="262" spans="2:14" x14ac:dyDescent="0.35">
      <c r="B262" s="54"/>
      <c r="I262" s="4"/>
      <c r="J262" s="4"/>
      <c r="K262" s="4"/>
      <c r="L262" s="4"/>
      <c r="M262" s="4"/>
      <c r="N262" s="4"/>
    </row>
    <row r="263" spans="2:14" x14ac:dyDescent="0.35">
      <c r="B263" s="54"/>
      <c r="I263" s="4"/>
      <c r="J263" s="4"/>
      <c r="K263" s="4"/>
      <c r="L263" s="4"/>
      <c r="M263" s="4"/>
      <c r="N263" s="4"/>
    </row>
    <row r="264" spans="2:14" x14ac:dyDescent="0.35">
      <c r="B264" s="54"/>
      <c r="E264" s="57" t="s">
        <v>3</v>
      </c>
      <c r="F264" s="58"/>
      <c r="G264" s="58"/>
      <c r="H264" s="58"/>
      <c r="I264" s="57" t="s">
        <v>1113</v>
      </c>
      <c r="J264" s="59"/>
      <c r="K264" s="59"/>
      <c r="L264" s="59"/>
      <c r="M264" s="59"/>
      <c r="N264" s="59"/>
    </row>
    <row r="265" spans="2:14" x14ac:dyDescent="0.35">
      <c r="B265" s="54" t="s">
        <v>404</v>
      </c>
      <c r="E265" s="62" t="str">
        <f>(2021+COLUMN()-COLUMN($D$7))&amp;IF(COLUMN()-COLUMN($D$7)&lt;5,"A","E")</f>
        <v>2022A</v>
      </c>
      <c r="F265" s="62" t="str">
        <f>(2021+COLUMN()-COLUMN($D$7))&amp;IF(COLUMN()-COLUMN($D$7)&lt;5,"A","E")</f>
        <v>2023A</v>
      </c>
      <c r="G265" s="62" t="str">
        <f>(2021+COLUMN()-COLUMN($D$7))&amp;IF(COLUMN()-COLUMN($D$7)&lt;5,"A","E")</f>
        <v>2024A</v>
      </c>
      <c r="H265" s="62" t="str">
        <f>(2021+COLUMN()-COLUMN($D$7))&amp;IF(COLUMN()-COLUMN($D$7)&lt;5,"A","E")</f>
        <v>2025A</v>
      </c>
      <c r="I265" s="62" t="s">
        <v>5</v>
      </c>
      <c r="J265" s="63" t="str">
        <f>(2021+COLUMN()-COLUMN($D$7))&amp;IF(COLUMN()-COLUMN($D$7)&lt;5,"A","E")</f>
        <v>2027E</v>
      </c>
      <c r="K265" s="63" t="str">
        <f>(2021+COLUMN()-COLUMN($D$7))&amp;IF(COLUMN()-COLUMN($D$7)&lt;5,"A","E")</f>
        <v>2028E</v>
      </c>
      <c r="L265" s="63" t="str">
        <f>(2021+COLUMN()-COLUMN($D$7))&amp;IF(COLUMN()-COLUMN($D$7)&lt;5,"A","E")</f>
        <v>2029E</v>
      </c>
      <c r="M265" s="63" t="str">
        <f>(2021+COLUMN()-COLUMN($D$7))&amp;IF(COLUMN()-COLUMN($D$7)&lt;5,"A","E")</f>
        <v>2030E</v>
      </c>
      <c r="N265" s="63" t="str">
        <f>(2021+COLUMN()-COLUMN($D$7))&amp;IF(COLUMN()-COLUMN($D$7)&lt;5,"A","E")</f>
        <v>2031E</v>
      </c>
    </row>
    <row r="267" spans="2:14" x14ac:dyDescent="0.35">
      <c r="B267" s="54" t="s">
        <v>405</v>
      </c>
      <c r="I267" s="95"/>
      <c r="J267" s="41">
        <f>Assumptions!$L$89</f>
        <v>12</v>
      </c>
      <c r="K267" s="41">
        <f>Assumptions!$L$89</f>
        <v>12</v>
      </c>
      <c r="L267" s="41">
        <f>Assumptions!$L$89</f>
        <v>12</v>
      </c>
      <c r="M267" s="41">
        <f>Assumptions!$L$89</f>
        <v>12</v>
      </c>
      <c r="N267" s="41">
        <f>Assumptions!$L$89</f>
        <v>12</v>
      </c>
    </row>
    <row r="269" spans="2:14" x14ac:dyDescent="0.35">
      <c r="B269" s="54" t="s">
        <v>406</v>
      </c>
    </row>
    <row r="270" spans="2:14" x14ac:dyDescent="0.35">
      <c r="B270" t="s">
        <v>407</v>
      </c>
      <c r="I270" s="7"/>
      <c r="J270" s="7">
        <f>I273</f>
        <v>24177</v>
      </c>
      <c r="K270" s="7">
        <f>J273</f>
        <v>31256.5276122449</v>
      </c>
      <c r="L270" s="7">
        <f>K273</f>
        <v>36609.637636872554</v>
      </c>
      <c r="M270" s="7">
        <f>L273</f>
        <v>40669.072932299692</v>
      </c>
      <c r="N270" s="7">
        <f>M273</f>
        <v>43759.143438660081</v>
      </c>
    </row>
    <row r="271" spans="2:14" x14ac:dyDescent="0.35">
      <c r="B271" t="s">
        <v>408</v>
      </c>
      <c r="I271" s="7"/>
      <c r="J271" s="41">
        <f>Assumptions!E121</f>
        <v>15000</v>
      </c>
      <c r="K271" s="41">
        <f>Assumptions!F121</f>
        <v>15000</v>
      </c>
      <c r="L271" s="41">
        <f>Assumptions!G121</f>
        <v>15000</v>
      </c>
      <c r="M271" s="41">
        <f>Assumptions!H121</f>
        <v>15000</v>
      </c>
      <c r="N271" s="41">
        <f>Assumptions!I121</f>
        <v>15000</v>
      </c>
    </row>
    <row r="272" spans="2:14" x14ac:dyDescent="0.35">
      <c r="B272" t="s">
        <v>503</v>
      </c>
      <c r="I272" s="7"/>
      <c r="J272" s="7">
        <f>J281-J280</f>
        <v>7920.4723877551005</v>
      </c>
      <c r="K272" s="7">
        <f t="shared" ref="K272:N272" si="47">K281-K280</f>
        <v>9646.8899753723454</v>
      </c>
      <c r="L272" s="7">
        <f t="shared" si="47"/>
        <v>10940.56470457286</v>
      </c>
      <c r="M272" s="7">
        <f t="shared" si="47"/>
        <v>11909.929493639611</v>
      </c>
      <c r="N272" s="7">
        <f t="shared" si="47"/>
        <v>12636.246968439347</v>
      </c>
    </row>
    <row r="273" spans="2:14" ht="15" thickBot="1" x14ac:dyDescent="0.4">
      <c r="B273" s="54" t="s">
        <v>409</v>
      </c>
      <c r="E273" s="190"/>
      <c r="F273" s="190"/>
      <c r="G273" s="190"/>
      <c r="H273" s="206"/>
      <c r="I273" s="285">
        <v>24177</v>
      </c>
      <c r="J273" s="98">
        <f>J270+J271-J272</f>
        <v>31256.5276122449</v>
      </c>
      <c r="K273" s="98">
        <f t="shared" ref="K273:N273" si="48">K270+K271-K272</f>
        <v>36609.637636872554</v>
      </c>
      <c r="L273" s="98">
        <f t="shared" si="48"/>
        <v>40669.072932299692</v>
      </c>
      <c r="M273" s="98">
        <f t="shared" si="48"/>
        <v>43759.143438660081</v>
      </c>
      <c r="N273" s="98">
        <f t="shared" si="48"/>
        <v>46122.89647022073</v>
      </c>
    </row>
    <row r="275" spans="2:14" x14ac:dyDescent="0.35">
      <c r="B275" s="54" t="s">
        <v>410</v>
      </c>
    </row>
    <row r="276" spans="2:14" x14ac:dyDescent="0.35">
      <c r="B276" t="s">
        <v>411</v>
      </c>
      <c r="I276" s="95"/>
      <c r="J276" s="41">
        <f>I117+Assumptions!$L$94</f>
        <v>21925</v>
      </c>
      <c r="K276" s="7">
        <f>J279</f>
        <v>29683.320469387756</v>
      </c>
      <c r="L276" s="7">
        <f t="shared" ref="L276:N276" si="49">K279</f>
        <v>35866.927514277806</v>
      </c>
      <c r="M276" s="7">
        <f t="shared" si="49"/>
        <v>40871.569330495076</v>
      </c>
      <c r="N276" s="7">
        <f t="shared" si="49"/>
        <v>44993.834256833317</v>
      </c>
    </row>
    <row r="277" spans="2:14" x14ac:dyDescent="0.35">
      <c r="B277" t="s">
        <v>408</v>
      </c>
      <c r="I277" s="95"/>
      <c r="J277" s="41">
        <f>Assumptions!E121</f>
        <v>15000</v>
      </c>
      <c r="K277" s="41">
        <f>Assumptions!F121</f>
        <v>15000</v>
      </c>
      <c r="L277" s="41">
        <f>Assumptions!G121</f>
        <v>15000</v>
      </c>
      <c r="M277" s="41">
        <f>Assumptions!H121</f>
        <v>15000</v>
      </c>
      <c r="N277" s="41">
        <f>Assumptions!I121</f>
        <v>15000</v>
      </c>
    </row>
    <row r="278" spans="2:14" x14ac:dyDescent="0.35">
      <c r="B278" t="s">
        <v>504</v>
      </c>
      <c r="I278" s="95"/>
      <c r="J278" s="7">
        <f>J282-J280</f>
        <v>7241.6795306122422</v>
      </c>
      <c r="K278" s="7">
        <f t="shared" ref="K278:N278" si="50">K282-K280</f>
        <v>8816.3929551099536</v>
      </c>
      <c r="L278" s="7">
        <f t="shared" si="50"/>
        <v>9995.3581837827332</v>
      </c>
      <c r="M278" s="7">
        <f t="shared" si="50"/>
        <v>10877.735073661759</v>
      </c>
      <c r="N278" s="7">
        <f t="shared" si="50"/>
        <v>11537.83675189663</v>
      </c>
    </row>
    <row r="279" spans="2:14" ht="15" thickBot="1" x14ac:dyDescent="0.4">
      <c r="B279" s="54" t="s">
        <v>412</v>
      </c>
      <c r="E279" s="190"/>
      <c r="F279" s="190"/>
      <c r="G279" s="190"/>
      <c r="H279" s="66"/>
      <c r="I279" s="98">
        <f>I117</f>
        <v>16532</v>
      </c>
      <c r="J279" s="98">
        <f>J276+J277+J280-J282</f>
        <v>29683.320469387756</v>
      </c>
      <c r="K279" s="98">
        <f t="shared" ref="K279:N279" si="51">K276+K277+K280-K282</f>
        <v>35866.927514277806</v>
      </c>
      <c r="L279" s="98">
        <f t="shared" si="51"/>
        <v>40871.569330495076</v>
      </c>
      <c r="M279" s="98">
        <f t="shared" si="51"/>
        <v>44993.834256833317</v>
      </c>
      <c r="N279" s="98">
        <f t="shared" si="51"/>
        <v>48455.997504936684</v>
      </c>
    </row>
    <row r="280" spans="2:14" ht="15" thickBot="1" x14ac:dyDescent="0.4">
      <c r="B280" s="54" t="s">
        <v>505</v>
      </c>
      <c r="E280" s="190"/>
      <c r="F280" s="190"/>
      <c r="G280" s="190"/>
      <c r="H280" s="190"/>
      <c r="I280" s="66"/>
      <c r="J280" s="51">
        <f>(J276+0.5*J277)*Assumptions!$L$91</f>
        <v>1088.7249999999999</v>
      </c>
      <c r="K280" s="51">
        <f>(K276+0.5*K277)*Assumptions!$L$91</f>
        <v>1375.7828573673469</v>
      </c>
      <c r="L280" s="51">
        <f>(L276+0.5*L277)*Assumptions!$L$91</f>
        <v>1604.5763180282788</v>
      </c>
      <c r="M280" s="51">
        <f>(M276+0.5*M277)*Assumptions!$L$91</f>
        <v>1789.7480652283177</v>
      </c>
      <c r="N280" s="51">
        <f>(N276+0.5*N277)*Assumptions!$L$91</f>
        <v>1942.2718675028327</v>
      </c>
    </row>
    <row r="281" spans="2:14" ht="15" thickBot="1" x14ac:dyDescent="0.4">
      <c r="B281" s="54" t="s">
        <v>506</v>
      </c>
      <c r="E281" s="190"/>
      <c r="F281" s="190"/>
      <c r="G281" s="190"/>
      <c r="H281" s="190"/>
      <c r="I281" s="66"/>
      <c r="J281" s="51">
        <f>(J270+0.5*J271)*Assumptions!$L$92</f>
        <v>9009.1973877551009</v>
      </c>
      <c r="K281" s="51">
        <f>(K270+0.5*K271)*Assumptions!$L$92</f>
        <v>11022.672832739692</v>
      </c>
      <c r="L281" s="51">
        <f>(L270+0.5*L271)*Assumptions!$L$92</f>
        <v>12545.141022601139</v>
      </c>
      <c r="M281" s="51">
        <f>(M270+0.5*M271)*Assumptions!$L$92</f>
        <v>13699.677558867928</v>
      </c>
      <c r="N281" s="51">
        <f>(N270+0.5*N271)*Assumptions!$L$92</f>
        <v>14578.518835942181</v>
      </c>
    </row>
    <row r="282" spans="2:14" ht="15" thickBot="1" x14ac:dyDescent="0.4">
      <c r="B282" s="54" t="s">
        <v>507</v>
      </c>
      <c r="E282" s="190"/>
      <c r="F282" s="190"/>
      <c r="G282" s="190"/>
      <c r="H282" s="190"/>
      <c r="I282" s="66"/>
      <c r="J282" s="51">
        <f>J281*Assumptions!$L$93</f>
        <v>8330.4045306122425</v>
      </c>
      <c r="K282" s="51">
        <f>K281*Assumptions!$L$93</f>
        <v>10192.1758124773</v>
      </c>
      <c r="L282" s="51">
        <f>L281*Assumptions!$L$93</f>
        <v>11599.934501811013</v>
      </c>
      <c r="M282" s="51">
        <f>M281*Assumptions!$L$93</f>
        <v>12667.483138890077</v>
      </c>
      <c r="N282" s="51">
        <f>N281*Assumptions!$L$93</f>
        <v>13480.108619399463</v>
      </c>
    </row>
    <row r="284" spans="2:14" x14ac:dyDescent="0.35">
      <c r="B284" s="54" t="s">
        <v>413</v>
      </c>
    </row>
    <row r="285" spans="2:14" x14ac:dyDescent="0.35">
      <c r="B285" s="1" t="s">
        <v>414</v>
      </c>
      <c r="I285" s="95"/>
      <c r="J285" s="7">
        <f>I288</f>
        <v>67281</v>
      </c>
      <c r="K285" s="7">
        <f>J288</f>
        <v>76674.25</v>
      </c>
      <c r="L285" s="7">
        <f>K288</f>
        <v>85284.729166666672</v>
      </c>
      <c r="M285" s="7">
        <f>L288</f>
        <v>93177.668402777781</v>
      </c>
      <c r="N285" s="7">
        <f>M288</f>
        <v>100412.86270254629</v>
      </c>
    </row>
    <row r="286" spans="2:14" x14ac:dyDescent="0.35">
      <c r="B286" s="1" t="s">
        <v>408</v>
      </c>
      <c r="I286" s="95"/>
      <c r="J286" s="41">
        <f>Assumptions!E112</f>
        <v>15000</v>
      </c>
      <c r="K286" s="41">
        <f>Assumptions!F112</f>
        <v>15000</v>
      </c>
      <c r="L286" s="41">
        <f>Assumptions!G112</f>
        <v>15000</v>
      </c>
      <c r="M286" s="41">
        <f>Assumptions!H112</f>
        <v>15000</v>
      </c>
      <c r="N286" s="41">
        <f>Assumptions!I112</f>
        <v>15000</v>
      </c>
    </row>
    <row r="287" spans="2:14" x14ac:dyDescent="0.35">
      <c r="B287" s="1" t="s">
        <v>487</v>
      </c>
      <c r="I287" s="95"/>
      <c r="J287" s="7">
        <f>J285/J267</f>
        <v>5606.75</v>
      </c>
      <c r="K287" s="7">
        <f>K285/K267</f>
        <v>6389.520833333333</v>
      </c>
      <c r="L287" s="7">
        <f>L285/L267</f>
        <v>7107.0607638888896</v>
      </c>
      <c r="M287" s="7">
        <f>M285/M267</f>
        <v>7764.8057002314818</v>
      </c>
      <c r="N287" s="7">
        <f>N285/N267</f>
        <v>8367.7385585455249</v>
      </c>
    </row>
    <row r="288" spans="2:14" ht="15" thickBot="1" x14ac:dyDescent="0.4">
      <c r="B288" s="54" t="s">
        <v>415</v>
      </c>
      <c r="E288" s="190"/>
      <c r="F288" s="190"/>
      <c r="G288" s="190"/>
      <c r="H288" s="206"/>
      <c r="I288" s="285">
        <v>67281</v>
      </c>
      <c r="J288" s="98">
        <f>J285+J286-J287</f>
        <v>76674.25</v>
      </c>
      <c r="K288" s="98">
        <f>K285+K286-K287</f>
        <v>85284.729166666672</v>
      </c>
      <c r="L288" s="98">
        <f>L285+L286-L287</f>
        <v>93177.668402777781</v>
      </c>
      <c r="M288" s="98">
        <f>M285+M286-M287</f>
        <v>100412.86270254629</v>
      </c>
      <c r="N288" s="98">
        <f>N285+N286-N287</f>
        <v>107045.12414400077</v>
      </c>
    </row>
    <row r="290" spans="2:14" x14ac:dyDescent="0.35">
      <c r="B290" s="1" t="s">
        <v>411</v>
      </c>
      <c r="I290" s="95"/>
      <c r="J290" s="7">
        <f>I293</f>
        <v>66594</v>
      </c>
      <c r="K290" s="7">
        <f>J293</f>
        <v>76044.5</v>
      </c>
      <c r="L290" s="7">
        <f>K293</f>
        <v>84707.458333333328</v>
      </c>
      <c r="M290" s="7">
        <f>L293</f>
        <v>92648.503472222219</v>
      </c>
      <c r="N290" s="7">
        <f>M293</f>
        <v>99927.794849537036</v>
      </c>
    </row>
    <row r="291" spans="2:14" x14ac:dyDescent="0.35">
      <c r="B291" s="1" t="s">
        <v>408</v>
      </c>
      <c r="I291" s="95"/>
      <c r="J291" s="41">
        <f>Assumptions!E112</f>
        <v>15000</v>
      </c>
      <c r="K291" s="41">
        <f>Assumptions!F112</f>
        <v>15000</v>
      </c>
      <c r="L291" s="41">
        <f>Assumptions!G112</f>
        <v>15000</v>
      </c>
      <c r="M291" s="41">
        <f>Assumptions!H112</f>
        <v>15000</v>
      </c>
      <c r="N291" s="41">
        <f>Assumptions!I112</f>
        <v>15000</v>
      </c>
    </row>
    <row r="292" spans="2:14" x14ac:dyDescent="0.35">
      <c r="B292" s="1" t="s">
        <v>488</v>
      </c>
      <c r="I292" s="95"/>
      <c r="J292" s="7">
        <f>J290/J267</f>
        <v>5549.5</v>
      </c>
      <c r="K292" s="7">
        <f>K290/K267</f>
        <v>6337.041666666667</v>
      </c>
      <c r="L292" s="7">
        <f>L290/L267</f>
        <v>7058.9548611111104</v>
      </c>
      <c r="M292" s="7">
        <f>M290/M267</f>
        <v>7720.7086226851852</v>
      </c>
      <c r="N292" s="7">
        <f>N290/N267</f>
        <v>8327.3162374614203</v>
      </c>
    </row>
    <row r="293" spans="2:14" ht="15" thickBot="1" x14ac:dyDescent="0.4">
      <c r="B293" s="55" t="s">
        <v>412</v>
      </c>
      <c r="E293" s="190"/>
      <c r="F293" s="190"/>
      <c r="G293" s="190"/>
      <c r="H293" s="206"/>
      <c r="I293" s="285">
        <v>66594</v>
      </c>
      <c r="J293" s="98">
        <f>J290+J291-J292</f>
        <v>76044.5</v>
      </c>
      <c r="K293" s="98">
        <f>K290+K291-K292</f>
        <v>84707.458333333328</v>
      </c>
      <c r="L293" s="98">
        <f>L290+L291-L292</f>
        <v>92648.503472222219</v>
      </c>
      <c r="M293" s="98">
        <f>M290+M291-M292</f>
        <v>99927.794849537036</v>
      </c>
      <c r="N293" s="98">
        <f>N290+N291-N292</f>
        <v>106600.47861207562</v>
      </c>
    </row>
    <row r="294" spans="2:14" ht="15" thickBot="1" x14ac:dyDescent="0.4">
      <c r="B294" s="55" t="s">
        <v>508</v>
      </c>
      <c r="E294" s="190"/>
      <c r="F294" s="190"/>
      <c r="G294" s="190"/>
      <c r="H294" s="190"/>
      <c r="I294" s="66"/>
      <c r="J294" s="51">
        <f>AVERAGE(J290,J293)*Assumptions!$L$90</f>
        <v>3209.36625</v>
      </c>
      <c r="K294" s="51">
        <f>AVERAGE(K290,K293)*Assumptions!$L$90</f>
        <v>3616.9190624999997</v>
      </c>
      <c r="L294" s="51">
        <f>AVERAGE(L290,L293)*Assumptions!$L$90</f>
        <v>3990.5091406249999</v>
      </c>
      <c r="M294" s="51">
        <f>AVERAGE(M290,M293)*Assumptions!$L$90</f>
        <v>4332.9667122395831</v>
      </c>
      <c r="N294" s="51">
        <f>AVERAGE(N290,N293)*Assumptions!$L$90</f>
        <v>4646.8861528862844</v>
      </c>
    </row>
    <row r="295" spans="2:14" ht="15" thickBot="1" x14ac:dyDescent="0.4">
      <c r="B295" s="55" t="s">
        <v>509</v>
      </c>
      <c r="E295" s="190"/>
      <c r="F295" s="190"/>
      <c r="G295" s="190"/>
      <c r="H295" s="190"/>
      <c r="I295" s="66"/>
      <c r="J295" s="98">
        <f>J292+J294</f>
        <v>8758.8662499999991</v>
      </c>
      <c r="K295" s="98">
        <f t="shared" ref="K295:N295" si="52">K292+K294</f>
        <v>9953.9607291666671</v>
      </c>
      <c r="L295" s="98">
        <f t="shared" si="52"/>
        <v>11049.464001736111</v>
      </c>
      <c r="M295" s="98">
        <f t="shared" si="52"/>
        <v>12053.675334924768</v>
      </c>
      <c r="N295" s="98">
        <f t="shared" si="52"/>
        <v>12974.202390347706</v>
      </c>
    </row>
    <row r="297" spans="2:14" x14ac:dyDescent="0.35">
      <c r="B297" t="s">
        <v>416</v>
      </c>
      <c r="I297" s="95"/>
      <c r="J297" s="7">
        <f>J273</f>
        <v>31256.5276122449</v>
      </c>
      <c r="K297" s="7">
        <f>K273</f>
        <v>36609.637636872554</v>
      </c>
      <c r="L297" s="7">
        <f>L273</f>
        <v>40669.072932299692</v>
      </c>
      <c r="M297" s="7">
        <f>M273</f>
        <v>43759.143438660081</v>
      </c>
      <c r="N297" s="7">
        <f>N273</f>
        <v>46122.89647022073</v>
      </c>
    </row>
    <row r="298" spans="2:14" x14ac:dyDescent="0.35">
      <c r="B298" t="s">
        <v>417</v>
      </c>
      <c r="I298" s="95"/>
      <c r="J298" s="7">
        <f>J288</f>
        <v>76674.25</v>
      </c>
      <c r="K298" s="7">
        <f>K288</f>
        <v>85284.729166666672</v>
      </c>
      <c r="L298" s="7">
        <f>L288</f>
        <v>93177.668402777781</v>
      </c>
      <c r="M298" s="7">
        <f>M288</f>
        <v>100412.86270254629</v>
      </c>
      <c r="N298" s="7">
        <f>N288</f>
        <v>107045.12414400077</v>
      </c>
    </row>
    <row r="299" spans="2:14" ht="15" thickBot="1" x14ac:dyDescent="0.4">
      <c r="B299" s="54" t="s">
        <v>418</v>
      </c>
      <c r="E299" s="203"/>
      <c r="F299" s="203"/>
      <c r="G299" s="203"/>
      <c r="H299" s="203"/>
      <c r="I299" s="214"/>
      <c r="J299" s="215">
        <f>SUM(J297:J298)</f>
        <v>107930.7776122449</v>
      </c>
      <c r="K299" s="215">
        <f>SUM(K297:K298)</f>
        <v>121894.36680353922</v>
      </c>
      <c r="L299" s="215">
        <f>SUM(L297:L298)</f>
        <v>133846.74133507747</v>
      </c>
      <c r="M299" s="215">
        <f>SUM(M297:M298)</f>
        <v>144172.00614120637</v>
      </c>
      <c r="N299" s="215">
        <f>SUM(N297:N298)</f>
        <v>153168.02061422152</v>
      </c>
    </row>
    <row r="301" spans="2:14" x14ac:dyDescent="0.35">
      <c r="B301" t="s">
        <v>419</v>
      </c>
      <c r="I301" s="95"/>
      <c r="J301" s="7">
        <f>J279</f>
        <v>29683.320469387756</v>
      </c>
      <c r="K301" s="7">
        <f>K279</f>
        <v>35866.927514277806</v>
      </c>
      <c r="L301" s="7">
        <f>L279</f>
        <v>40871.569330495076</v>
      </c>
      <c r="M301" s="7">
        <f>M279</f>
        <v>44993.834256833317</v>
      </c>
      <c r="N301" s="7">
        <f>N279</f>
        <v>48455.997504936684</v>
      </c>
    </row>
    <row r="302" spans="2:14" x14ac:dyDescent="0.35">
      <c r="B302" t="s">
        <v>420</v>
      </c>
      <c r="I302" s="95"/>
      <c r="J302" s="7">
        <f>J293</f>
        <v>76044.5</v>
      </c>
      <c r="K302" s="7">
        <f>K293</f>
        <v>84707.458333333328</v>
      </c>
      <c r="L302" s="7">
        <f>L293</f>
        <v>92648.503472222219</v>
      </c>
      <c r="M302" s="7">
        <f>M293</f>
        <v>99927.794849537036</v>
      </c>
      <c r="N302" s="7">
        <f>N293</f>
        <v>106600.47861207562</v>
      </c>
    </row>
    <row r="303" spans="2:14" ht="15" thickBot="1" x14ac:dyDescent="0.4">
      <c r="B303" s="54" t="s">
        <v>421</v>
      </c>
      <c r="E303" s="203"/>
      <c r="F303" s="203"/>
      <c r="G303" s="203"/>
      <c r="H303" s="203"/>
      <c r="I303" s="214"/>
      <c r="J303" s="215">
        <f>SUM(J301:J302)</f>
        <v>105727.82046938775</v>
      </c>
      <c r="K303" s="215">
        <f>SUM(K301:K302)</f>
        <v>120574.38584761113</v>
      </c>
      <c r="L303" s="215">
        <f>SUM(L301:L302)</f>
        <v>133520.0728027173</v>
      </c>
      <c r="M303" s="215">
        <f>SUM(M301:M302)</f>
        <v>144921.62910637035</v>
      </c>
      <c r="N303" s="215">
        <f>SUM(N301:N302)</f>
        <v>155056.47611701229</v>
      </c>
    </row>
    <row r="305" spans="2:14" ht="15" thickBot="1" x14ac:dyDescent="0.4">
      <c r="B305" s="54" t="s">
        <v>489</v>
      </c>
      <c r="E305" s="190"/>
      <c r="F305" s="190"/>
      <c r="G305" s="190"/>
      <c r="H305" s="190"/>
      <c r="I305" s="66"/>
      <c r="J305" s="98">
        <f>J272</f>
        <v>7920.4723877551005</v>
      </c>
      <c r="K305" s="98">
        <f>K272</f>
        <v>9646.8899753723454</v>
      </c>
      <c r="L305" s="98">
        <f>L272</f>
        <v>10940.56470457286</v>
      </c>
      <c r="M305" s="98">
        <f>M272</f>
        <v>11909.929493639611</v>
      </c>
      <c r="N305" s="98">
        <f>N272</f>
        <v>12636.246968439347</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143DC-8F79-4AF8-AD7A-782BB3E3AB6A}">
  <dimension ref="B1:S89"/>
  <sheetViews>
    <sheetView showGridLines="0" topLeftCell="A27" zoomScale="58" zoomScaleNormal="58" workbookViewId="0">
      <selection activeCell="N20" sqref="N20"/>
    </sheetView>
  </sheetViews>
  <sheetFormatPr defaultRowHeight="14.5" x14ac:dyDescent="0.35"/>
  <cols>
    <col min="1" max="1" width="2.6328125" customWidth="1"/>
    <col min="14" max="14" width="43.90625" bestFit="1" customWidth="1"/>
    <col min="15" max="19" width="8.6328125" bestFit="1" customWidth="1"/>
  </cols>
  <sheetData>
    <row r="1" spans="2:19" x14ac:dyDescent="0.35">
      <c r="B1" s="29"/>
      <c r="S1" s="305" t="str">
        <f>HYPERLINK("#'Cover'!A1","Cover")</f>
        <v>Cover</v>
      </c>
    </row>
    <row r="2" spans="2:19" ht="18.5" x14ac:dyDescent="0.45">
      <c r="B2" s="216" t="s">
        <v>422</v>
      </c>
    </row>
    <row r="3" spans="2:19" x14ac:dyDescent="0.35">
      <c r="B3" s="30" t="s">
        <v>691</v>
      </c>
      <c r="E3" s="327" t="str">
        <f>Assumptions!M2</f>
        <v>Base</v>
      </c>
    </row>
    <row r="4" spans="2:19" ht="15" thickBot="1" x14ac:dyDescent="0.4">
      <c r="N4" s="217" t="s">
        <v>538</v>
      </c>
      <c r="O4" s="217"/>
      <c r="P4" s="217"/>
      <c r="Q4" s="217"/>
      <c r="R4" s="217"/>
      <c r="S4" s="217"/>
    </row>
    <row r="5" spans="2:19" ht="15" thickTop="1" x14ac:dyDescent="0.35">
      <c r="B5" s="218" t="s">
        <v>423</v>
      </c>
      <c r="C5" s="218"/>
      <c r="D5" s="218"/>
      <c r="E5" s="218"/>
      <c r="N5" s="219" t="s">
        <v>519</v>
      </c>
      <c r="O5" s="219" t="s">
        <v>539</v>
      </c>
      <c r="P5" s="219" t="s">
        <v>540</v>
      </c>
      <c r="Q5" s="219" t="s">
        <v>541</v>
      </c>
      <c r="R5" s="219" t="s">
        <v>542</v>
      </c>
      <c r="S5" s="219" t="s">
        <v>521</v>
      </c>
    </row>
    <row r="6" spans="2:19" x14ac:dyDescent="0.35">
      <c r="B6" s="30" t="s">
        <v>185</v>
      </c>
      <c r="D6" s="95"/>
      <c r="E6" s="44">
        <f>Assumptions!H105</f>
        <v>9.053558405181325E-2</v>
      </c>
      <c r="G6" s="29" t="s">
        <v>514</v>
      </c>
      <c r="N6" s="95" t="s">
        <v>440</v>
      </c>
      <c r="O6" s="224">
        <f t="shared" ref="O6:S7" si="0">E23</f>
        <v>144778.77964800005</v>
      </c>
      <c r="P6" s="224">
        <f t="shared" si="0"/>
        <v>171594.45304000005</v>
      </c>
      <c r="Q6" s="224">
        <f t="shared" si="0"/>
        <v>202158.78327469446</v>
      </c>
      <c r="R6" s="224">
        <f t="shared" si="0"/>
        <v>234923.14438617131</v>
      </c>
      <c r="S6" s="224">
        <f t="shared" si="0"/>
        <v>270140.07459376485</v>
      </c>
    </row>
    <row r="7" spans="2:19" x14ac:dyDescent="0.35">
      <c r="B7" s="30" t="s">
        <v>424</v>
      </c>
      <c r="D7" s="95"/>
      <c r="E7" s="44">
        <f>Assumptions!H104</f>
        <v>2.5000000000000001E-2</v>
      </c>
      <c r="G7" s="29" t="s">
        <v>1123</v>
      </c>
      <c r="N7" s="95" t="s">
        <v>543</v>
      </c>
      <c r="O7" s="224">
        <f t="shared" si="0"/>
        <v>53706.880000000005</v>
      </c>
      <c r="P7" s="224">
        <f t="shared" si="0"/>
        <v>67337.145600000003</v>
      </c>
      <c r="Q7" s="224">
        <f t="shared" si="0"/>
        <v>81738.256672000003</v>
      </c>
      <c r="R7" s="224">
        <f t="shared" si="0"/>
        <v>95910.173304640004</v>
      </c>
      <c r="S7" s="224">
        <f t="shared" si="0"/>
        <v>110596.9007750368</v>
      </c>
    </row>
    <row r="8" spans="2:19" x14ac:dyDescent="0.35">
      <c r="B8" s="30" t="s">
        <v>425</v>
      </c>
      <c r="D8" s="95"/>
      <c r="E8" s="44">
        <f>Assumptions!H89</f>
        <v>0.2</v>
      </c>
      <c r="G8" s="29" t="s">
        <v>426</v>
      </c>
      <c r="N8" s="95" t="s">
        <v>544</v>
      </c>
      <c r="O8" s="328">
        <f>-'3 statement Model'!J174</f>
        <v>-140000</v>
      </c>
      <c r="P8" s="328">
        <f>-'3 statement Model'!K174</f>
        <v>-155000</v>
      </c>
      <c r="Q8" s="328">
        <f>-'3 statement Model'!L174</f>
        <v>-170000</v>
      </c>
      <c r="R8" s="328">
        <f>-'3 statement Model'!M174</f>
        <v>-185000</v>
      </c>
      <c r="S8" s="328">
        <f>-'3 statement Model'!N174</f>
        <v>-200000</v>
      </c>
    </row>
    <row r="9" spans="2:19" x14ac:dyDescent="0.35">
      <c r="B9" s="30" t="s">
        <v>427</v>
      </c>
      <c r="D9" s="95"/>
      <c r="E9" s="44">
        <f>Assumptions!H106</f>
        <v>0.15</v>
      </c>
      <c r="G9" s="29" t="s">
        <v>428</v>
      </c>
      <c r="N9" s="95" t="s">
        <v>545</v>
      </c>
      <c r="O9" s="224">
        <f>E26</f>
        <v>11207.479482799343</v>
      </c>
      <c r="P9" s="224">
        <f>F26</f>
        <v>13237.303201628802</v>
      </c>
      <c r="Q9" s="224">
        <f>G26</f>
        <v>14975.148600853787</v>
      </c>
      <c r="R9" s="224">
        <f>H26</f>
        <v>14078.016725057354</v>
      </c>
      <c r="S9" s="224">
        <f>I26</f>
        <v>15631.663972635415</v>
      </c>
    </row>
    <row r="10" spans="2:19" x14ac:dyDescent="0.35">
      <c r="B10" s="30" t="s">
        <v>429</v>
      </c>
      <c r="D10" s="95"/>
      <c r="E10" s="41">
        <f>Assumptions!H120</f>
        <v>1</v>
      </c>
      <c r="G10" s="220" t="s">
        <v>531</v>
      </c>
      <c r="N10" s="225" t="s">
        <v>546</v>
      </c>
      <c r="O10" s="226">
        <f>SUM(O6:O9)</f>
        <v>69693.139130799405</v>
      </c>
      <c r="P10" s="226">
        <f>SUM(P6:P9)</f>
        <v>97168.901841628845</v>
      </c>
      <c r="Q10" s="226">
        <f>SUM(Q6:Q9)</f>
        <v>128872.18854754824</v>
      </c>
      <c r="R10" s="226">
        <f>SUM(R6:R9)</f>
        <v>159911.33441586865</v>
      </c>
      <c r="S10" s="226">
        <f>SUM(S6:S9)</f>
        <v>196368.63934143702</v>
      </c>
    </row>
    <row r="11" spans="2:19" ht="15" thickBot="1" x14ac:dyDescent="0.4">
      <c r="B11" s="30" t="s">
        <v>430</v>
      </c>
      <c r="D11" s="87"/>
      <c r="E11" s="91">
        <v>1</v>
      </c>
      <c r="G11" s="29" t="s">
        <v>532</v>
      </c>
      <c r="N11" s="95" t="s">
        <v>547</v>
      </c>
      <c r="O11" s="328">
        <f>-'3 statement Model'!J175</f>
        <v>-15000</v>
      </c>
      <c r="P11" s="328">
        <f>-'3 statement Model'!K175</f>
        <v>-15000</v>
      </c>
      <c r="Q11" s="328">
        <f>-'3 statement Model'!L175</f>
        <v>-15000</v>
      </c>
      <c r="R11" s="328">
        <f>-'3 statement Model'!M175</f>
        <v>-15000</v>
      </c>
      <c r="S11" s="328">
        <f>-'3 statement Model'!N175</f>
        <v>-15000</v>
      </c>
    </row>
    <row r="12" spans="2:19" ht="15" thickBot="1" x14ac:dyDescent="0.4">
      <c r="B12" s="30" t="s">
        <v>431</v>
      </c>
      <c r="D12" s="95"/>
      <c r="E12" s="41">
        <f>Assumptions!L88</f>
        <v>7425.55</v>
      </c>
      <c r="G12" s="29" t="s">
        <v>515</v>
      </c>
      <c r="N12" s="227" t="s">
        <v>548</v>
      </c>
      <c r="O12" s="228">
        <f>O10+O11</f>
        <v>54693.139130799405</v>
      </c>
      <c r="P12" s="228">
        <f>P10+P11</f>
        <v>82168.901841628845</v>
      </c>
      <c r="Q12" s="228">
        <f>Q10+Q11</f>
        <v>113872.18854754824</v>
      </c>
      <c r="R12" s="228">
        <f>R10+R11</f>
        <v>144911.33441586865</v>
      </c>
      <c r="S12" s="228">
        <f>S10+S11</f>
        <v>181368.63934143702</v>
      </c>
    </row>
    <row r="13" spans="2:19" x14ac:dyDescent="0.35">
      <c r="B13" s="30" t="s">
        <v>432</v>
      </c>
      <c r="D13" s="95"/>
      <c r="E13" s="329">
        <f>WACC!I10</f>
        <v>531.33000000000004</v>
      </c>
      <c r="G13" s="29" t="s">
        <v>692</v>
      </c>
      <c r="N13" s="229" t="s">
        <v>549</v>
      </c>
      <c r="O13" s="228">
        <f>O12-E27</f>
        <v>0</v>
      </c>
      <c r="P13" s="228">
        <f>P12-F27</f>
        <v>0</v>
      </c>
      <c r="Q13" s="228">
        <f>Q12-G27</f>
        <v>0</v>
      </c>
      <c r="R13" s="228">
        <f>R12-H27</f>
        <v>0</v>
      </c>
      <c r="S13" s="228">
        <f>S12-I27</f>
        <v>0</v>
      </c>
    </row>
    <row r="15" spans="2:19" x14ac:dyDescent="0.35">
      <c r="B15" s="218" t="s">
        <v>433</v>
      </c>
    </row>
    <row r="16" spans="2:19" x14ac:dyDescent="0.35">
      <c r="B16" s="221"/>
      <c r="C16" s="221"/>
      <c r="D16" s="330" t="str">
        <f>'3 statement Model'!I3</f>
        <v>2026A</v>
      </c>
      <c r="E16" s="330" t="str">
        <f>'3 statement Model'!J3</f>
        <v>2027E</v>
      </c>
      <c r="F16" s="330" t="str">
        <f>'3 statement Model'!K3</f>
        <v>2028E</v>
      </c>
      <c r="G16" s="330" t="str">
        <f>'3 statement Model'!L3</f>
        <v>2029E</v>
      </c>
      <c r="H16" s="330" t="str">
        <f>'3 statement Model'!M3</f>
        <v>2030E</v>
      </c>
      <c r="I16" s="330" t="str">
        <f>'3 statement Model'!N3</f>
        <v>2031E</v>
      </c>
    </row>
    <row r="17" spans="2:11" x14ac:dyDescent="0.35">
      <c r="B17" s="30" t="s">
        <v>434</v>
      </c>
      <c r="D17" s="87"/>
      <c r="E17" s="91">
        <v>1</v>
      </c>
      <c r="F17" s="7">
        <f>E17+1</f>
        <v>2</v>
      </c>
      <c r="G17" s="7">
        <f>F17+1</f>
        <v>3</v>
      </c>
      <c r="H17" s="7">
        <f>G17+1</f>
        <v>4</v>
      </c>
      <c r="I17" s="7">
        <f>H17+1</f>
        <v>5</v>
      </c>
    </row>
    <row r="18" spans="2:11" x14ac:dyDescent="0.35">
      <c r="B18" s="30" t="s">
        <v>435</v>
      </c>
      <c r="C18" s="95"/>
      <c r="D18" s="41">
        <f>'3 statement Model'!I9</f>
        <v>331839</v>
      </c>
      <c r="E18" s="41">
        <f>'3 statement Model'!J9</f>
        <v>390029.04000000004</v>
      </c>
      <c r="F18" s="41">
        <f>'3 statement Model'!K9</f>
        <v>460285.55000000005</v>
      </c>
      <c r="G18" s="41">
        <f>'3 statement Model'!L9</f>
        <v>536514.81760800013</v>
      </c>
      <c r="H18" s="41">
        <f>'3 statement Model'!M9</f>
        <v>618218.80101624015</v>
      </c>
      <c r="I18" s="41">
        <f>'3 statement Model'!N9</f>
        <v>702027.22087776731</v>
      </c>
    </row>
    <row r="19" spans="2:11" x14ac:dyDescent="0.35">
      <c r="B19" s="30" t="s">
        <v>436</v>
      </c>
      <c r="D19" s="95"/>
      <c r="E19" s="19">
        <f>E18/D18-1</f>
        <v>0.17535624203303413</v>
      </c>
      <c r="F19" s="19">
        <f>F18/E18-1</f>
        <v>0.1801314845684312</v>
      </c>
      <c r="G19" s="19">
        <f>G18/F18-1</f>
        <v>0.16561299308222921</v>
      </c>
      <c r="H19" s="19">
        <f>H18/G18-1</f>
        <v>0.15228653660025526</v>
      </c>
      <c r="I19" s="19">
        <f>I18/H18-1</f>
        <v>0.13556433373388388</v>
      </c>
    </row>
    <row r="20" spans="2:11" x14ac:dyDescent="0.35">
      <c r="B20" s="30" t="s">
        <v>437</v>
      </c>
      <c r="C20" s="95"/>
      <c r="D20" s="41">
        <f>'3 statement Model'!I25</f>
        <v>155237</v>
      </c>
      <c r="E20" s="41">
        <f>'3 statement Model'!J25</f>
        <v>180973.47456000006</v>
      </c>
      <c r="F20" s="41">
        <f>'3 statement Model'!K25</f>
        <v>214493.06630000006</v>
      </c>
      <c r="G20" s="41">
        <f>'3 statement Model'!L25</f>
        <v>252698.47909336808</v>
      </c>
      <c r="H20" s="41">
        <f>'3 statement Model'!M25</f>
        <v>293653.93048271415</v>
      </c>
      <c r="I20" s="41">
        <f>'3 statement Model'!N25</f>
        <v>337675.09324220609</v>
      </c>
    </row>
    <row r="21" spans="2:11" x14ac:dyDescent="0.35">
      <c r="B21" s="30" t="s">
        <v>438</v>
      </c>
      <c r="C21" s="95"/>
      <c r="D21" s="19">
        <f t="shared" ref="D21:I21" si="1">D20/D18</f>
        <v>0.46780818408927222</v>
      </c>
      <c r="E21" s="19">
        <f t="shared" si="1"/>
        <v>0.46400000000000013</v>
      </c>
      <c r="F21" s="19">
        <f t="shared" si="1"/>
        <v>0.46600000000000008</v>
      </c>
      <c r="G21" s="19">
        <f t="shared" si="1"/>
        <v>0.47100000000000003</v>
      </c>
      <c r="H21" s="19">
        <f t="shared" si="1"/>
        <v>0.47500000000000014</v>
      </c>
      <c r="I21" s="19">
        <f t="shared" si="1"/>
        <v>0.48100000000000004</v>
      </c>
    </row>
    <row r="22" spans="2:11" x14ac:dyDescent="0.35">
      <c r="B22" s="30" t="s">
        <v>439</v>
      </c>
      <c r="D22" s="95"/>
      <c r="E22" s="7">
        <f>-E20*$E$8</f>
        <v>-36194.694912000014</v>
      </c>
      <c r="F22" s="7">
        <f>-F20*$E$8</f>
        <v>-42898.613260000013</v>
      </c>
      <c r="G22" s="7">
        <f>-G20*$E$8</f>
        <v>-50539.695818673616</v>
      </c>
      <c r="H22" s="7">
        <f>-H20*$E$8</f>
        <v>-58730.786096542834</v>
      </c>
      <c r="I22" s="7">
        <f>-I20*$E$8</f>
        <v>-67535.018648441226</v>
      </c>
    </row>
    <row r="23" spans="2:11" x14ac:dyDescent="0.35">
      <c r="B23" s="31" t="s">
        <v>440</v>
      </c>
      <c r="D23" s="95"/>
      <c r="E23" s="230">
        <f>E20+E22</f>
        <v>144778.77964800005</v>
      </c>
      <c r="F23" s="230">
        <f>F20+F22</f>
        <v>171594.45304000005</v>
      </c>
      <c r="G23" s="230">
        <f>G20+G22</f>
        <v>202158.78327469446</v>
      </c>
      <c r="H23" s="230">
        <f>H20+H22</f>
        <v>234923.14438617131</v>
      </c>
      <c r="I23" s="230">
        <f>I20+I22</f>
        <v>270140.07459376485</v>
      </c>
    </row>
    <row r="24" spans="2:11" x14ac:dyDescent="0.35">
      <c r="B24" s="30" t="s">
        <v>601</v>
      </c>
      <c r="D24" s="95"/>
      <c r="E24" s="41">
        <f>'3 statement Model'!J23</f>
        <v>53706.880000000005</v>
      </c>
      <c r="F24" s="41">
        <f>'3 statement Model'!K23</f>
        <v>67337.145600000003</v>
      </c>
      <c r="G24" s="41">
        <f>'3 statement Model'!L23</f>
        <v>81738.256672000003</v>
      </c>
      <c r="H24" s="41">
        <f>'3 statement Model'!M23</f>
        <v>95910.173304640004</v>
      </c>
      <c r="I24" s="41">
        <f>'3 statement Model'!N23</f>
        <v>110596.9007750368</v>
      </c>
      <c r="K24" s="29" t="s">
        <v>533</v>
      </c>
    </row>
    <row r="25" spans="2:11" x14ac:dyDescent="0.35">
      <c r="B25" s="30" t="s">
        <v>441</v>
      </c>
      <c r="C25" s="95"/>
      <c r="D25" s="41">
        <f>'3 statement Model'!I76</f>
        <v>-115948</v>
      </c>
      <c r="E25" s="41">
        <f>-SUM('3 statement Model'!J174:J175)</f>
        <v>-155000</v>
      </c>
      <c r="F25" s="41">
        <f>-SUM('3 statement Model'!K174:K175)</f>
        <v>-170000</v>
      </c>
      <c r="G25" s="41">
        <f>-SUM('3 statement Model'!L174:L175)</f>
        <v>-185000</v>
      </c>
      <c r="H25" s="41">
        <f>-SUM('3 statement Model'!M174:M175)</f>
        <v>-200000</v>
      </c>
      <c r="I25" s="41">
        <f>-SUM('3 statement Model'!N174:N175)</f>
        <v>-215000</v>
      </c>
    </row>
    <row r="26" spans="2:11" x14ac:dyDescent="0.35">
      <c r="B26" s="30" t="s">
        <v>490</v>
      </c>
      <c r="D26" s="95"/>
      <c r="E26" s="41">
        <f>SUM('3 statement Model'!J60:J67)</f>
        <v>11207.479482799343</v>
      </c>
      <c r="F26" s="41">
        <f>SUM('3 statement Model'!K60:K67)</f>
        <v>13237.303201628802</v>
      </c>
      <c r="G26" s="41">
        <f>SUM('3 statement Model'!L60:L67)</f>
        <v>14975.148600853787</v>
      </c>
      <c r="H26" s="41">
        <f>SUM('3 statement Model'!M60:M67)</f>
        <v>14078.016725057354</v>
      </c>
      <c r="I26" s="41">
        <f>SUM('3 statement Model'!N60:N67)</f>
        <v>15631.663972635415</v>
      </c>
      <c r="K26" s="29" t="s">
        <v>516</v>
      </c>
    </row>
    <row r="27" spans="2:11" x14ac:dyDescent="0.35">
      <c r="B27" s="31" t="s">
        <v>442</v>
      </c>
      <c r="D27" s="95"/>
      <c r="E27" s="230">
        <f>E23+E24+E25+E26</f>
        <v>54693.139130799405</v>
      </c>
      <c r="F27" s="230">
        <f>F23+F24+F25+F26</f>
        <v>82168.901841628845</v>
      </c>
      <c r="G27" s="230">
        <f>G23+G24+G25+G26</f>
        <v>113872.18854754824</v>
      </c>
      <c r="H27" s="230">
        <f>H23+H24+H25+H26</f>
        <v>144911.33441586865</v>
      </c>
      <c r="I27" s="230">
        <f>I23+I24+I25+I26</f>
        <v>181368.63934143702</v>
      </c>
    </row>
    <row r="28" spans="2:11" x14ac:dyDescent="0.35">
      <c r="B28" s="30" t="s">
        <v>443</v>
      </c>
      <c r="D28" s="95"/>
      <c r="E28" s="19">
        <f>E27/E18</f>
        <v>0.14022837666343871</v>
      </c>
      <c r="F28" s="19">
        <f>F27/F18</f>
        <v>0.17851723097027233</v>
      </c>
      <c r="G28" s="19">
        <f>G27/G18</f>
        <v>0.21224425646851</v>
      </c>
      <c r="H28" s="19">
        <f>H27/H18</f>
        <v>0.23440137080538567</v>
      </c>
      <c r="I28" s="19">
        <f>I27/I18</f>
        <v>0.2583498672810236</v>
      </c>
    </row>
    <row r="29" spans="2:11" x14ac:dyDescent="0.35">
      <c r="B29" s="30" t="s">
        <v>807</v>
      </c>
      <c r="C29" s="95"/>
      <c r="D29" s="19">
        <f t="shared" ref="D29:I29" si="2">-D25/D18</f>
        <v>0.34941040685392616</v>
      </c>
      <c r="E29" s="19">
        <f t="shared" si="2"/>
        <v>0.39740630595096199</v>
      </c>
      <c r="F29" s="19">
        <f t="shared" si="2"/>
        <v>0.36933594808700815</v>
      </c>
      <c r="G29" s="19">
        <f t="shared" si="2"/>
        <v>0.34481806266750425</v>
      </c>
      <c r="H29" s="19">
        <f t="shared" si="2"/>
        <v>0.32351005771942892</v>
      </c>
      <c r="I29" s="19">
        <f t="shared" si="2"/>
        <v>0.30625593083296482</v>
      </c>
    </row>
    <row r="30" spans="2:11" x14ac:dyDescent="0.35">
      <c r="B30" s="30" t="s">
        <v>808</v>
      </c>
      <c r="D30" s="95"/>
      <c r="E30" s="231">
        <f>-E25/E24</f>
        <v>2.886036202438123</v>
      </c>
      <c r="F30" s="231">
        <f>-F25/F24</f>
        <v>2.5246095373546691</v>
      </c>
      <c r="G30" s="231">
        <f>-G25/G24</f>
        <v>2.2633220664635609</v>
      </c>
      <c r="H30" s="231">
        <f>-H25/H24</f>
        <v>2.0852845230999524</v>
      </c>
      <c r="I30" s="231">
        <f>-I25/I24</f>
        <v>1.9439966083437337</v>
      </c>
    </row>
    <row r="31" spans="2:11" x14ac:dyDescent="0.35">
      <c r="B31" s="30" t="s">
        <v>444</v>
      </c>
      <c r="D31" s="95"/>
      <c r="E31" s="7">
        <f>1/(1+$E$6)^(E17-0.5*$E$10)</f>
        <v>0.95759105241835241</v>
      </c>
      <c r="F31" s="7">
        <f>1/(1+$E$6)^(F17-0.5*$E$10)</f>
        <v>0.87809244046900869</v>
      </c>
      <c r="G31" s="7">
        <f>1/(1+$E$6)^(G17-0.5*$E$10)</f>
        <v>0.8051937537026661</v>
      </c>
      <c r="H31" s="7">
        <f>1/(1+$E$6)^(H17-0.5*$E$10)</f>
        <v>0.73834707044681813</v>
      </c>
      <c r="I31" s="7">
        <f>1/(1+$E$6)^(I17-0.5*$E$10)</f>
        <v>0.67704995714448701</v>
      </c>
    </row>
    <row r="32" spans="2:11" x14ac:dyDescent="0.35">
      <c r="B32" s="31" t="s">
        <v>445</v>
      </c>
      <c r="D32" s="95"/>
      <c r="E32" s="7">
        <f>E27*E31</f>
        <v>52373.660660325571</v>
      </c>
      <c r="F32" s="7">
        <f>F27*F31</f>
        <v>72151.891548774292</v>
      </c>
      <c r="G32" s="7">
        <f>G27*G31</f>
        <v>91689.174938938115</v>
      </c>
      <c r="H32" s="7">
        <f>H27*H31</f>
        <v>106994.85924049579</v>
      </c>
      <c r="I32" s="7">
        <f>I27*I31</f>
        <v>122795.62949347385</v>
      </c>
    </row>
    <row r="34" spans="2:19" ht="15" thickBot="1" x14ac:dyDescent="0.4">
      <c r="B34" s="218" t="s">
        <v>565</v>
      </c>
      <c r="N34" s="217" t="s">
        <v>550</v>
      </c>
      <c r="O34" s="217"/>
      <c r="P34" s="217"/>
      <c r="Q34" s="217"/>
      <c r="R34" s="217"/>
      <c r="S34" s="217"/>
    </row>
    <row r="35" spans="2:19" ht="15" thickTop="1" x14ac:dyDescent="0.35">
      <c r="B35" s="30" t="s">
        <v>566</v>
      </c>
      <c r="D35" s="95"/>
      <c r="E35" s="7">
        <f>S40*(1+E7)</f>
        <v>375537.3972806306</v>
      </c>
      <c r="N35" s="219" t="s">
        <v>519</v>
      </c>
      <c r="O35" s="219" t="s">
        <v>551</v>
      </c>
      <c r="P35" s="219" t="s">
        <v>552</v>
      </c>
      <c r="Q35" s="219" t="s">
        <v>553</v>
      </c>
      <c r="R35" s="219" t="s">
        <v>554</v>
      </c>
      <c r="S35" s="219" t="s">
        <v>555</v>
      </c>
    </row>
    <row r="36" spans="2:19" x14ac:dyDescent="0.35">
      <c r="B36" s="30" t="s">
        <v>446</v>
      </c>
      <c r="D36" s="95"/>
      <c r="E36" s="19">
        <f>E7/E9</f>
        <v>0.16666666666666669</v>
      </c>
      <c r="N36" s="95" t="s">
        <v>128</v>
      </c>
      <c r="O36" s="331">
        <f>$I$19+(COLUMN()-COLUMN($N$36))/Assumptions!$H$117*($E$7-$I$19)</f>
        <v>0.11345146698710711</v>
      </c>
      <c r="P36" s="331">
        <f>$I$19+(COLUMN()-COLUMN($N$36))/Assumptions!$H$117*($E$7-$I$19)</f>
        <v>9.1338600240330331E-2</v>
      </c>
      <c r="Q36" s="331">
        <f>$I$19+(COLUMN()-COLUMN($N$36))/Assumptions!$H$117*($E$7-$I$19)</f>
        <v>6.9225733493553557E-2</v>
      </c>
      <c r="R36" s="331">
        <f>$I$19+(COLUMN()-COLUMN($N$36))/Assumptions!$H$117*($E$7-$I$19)</f>
        <v>4.7112866746776769E-2</v>
      </c>
      <c r="S36" s="331">
        <f>$I$19+(COLUMN()-COLUMN($N$36))/Assumptions!$H$117*($E$7-$I$19)</f>
        <v>2.4999999999999994E-2</v>
      </c>
    </row>
    <row r="37" spans="2:19" x14ac:dyDescent="0.35">
      <c r="B37" s="30" t="s">
        <v>447</v>
      </c>
      <c r="D37" s="95"/>
      <c r="E37" s="7">
        <f>E35*(1-E36)</f>
        <v>312947.83106719214</v>
      </c>
      <c r="N37" s="95" t="s">
        <v>435</v>
      </c>
      <c r="O37" s="224">
        <f>$I$18*(1+O36)</f>
        <v>781673.23895123194</v>
      </c>
      <c r="P37" s="224">
        <f>O37*(1+P36)</f>
        <v>853070.1784423627</v>
      </c>
      <c r="Q37" s="224">
        <f>P37*(1+Q36)</f>
        <v>912124.58726651187</v>
      </c>
      <c r="R37" s="224">
        <f>Q37*(1+R36)</f>
        <v>955097.39140285784</v>
      </c>
      <c r="S37" s="224">
        <f>R37*(1+S36)</f>
        <v>978974.82618792925</v>
      </c>
    </row>
    <row r="38" spans="2:19" x14ac:dyDescent="0.35">
      <c r="B38" s="30" t="s">
        <v>567</v>
      </c>
      <c r="D38" s="95"/>
      <c r="E38" s="7">
        <f>S44*(1+E7)</f>
        <v>312947.83106719219</v>
      </c>
      <c r="N38" s="95" t="s">
        <v>120</v>
      </c>
      <c r="O38" s="331">
        <f>$I$21+(COLUMN()-COLUMN($N$38))/Assumptions!$H$117*(Assumptions!$H$116-$I$21)</f>
        <v>0.47836163681785449</v>
      </c>
      <c r="P38" s="331">
        <f>$I$21+(COLUMN()-COLUMN($N$38))/Assumptions!$H$117*(Assumptions!$H$116-$I$21)</f>
        <v>0.47572327363570893</v>
      </c>
      <c r="Q38" s="331">
        <f>$I$21+(COLUMN()-COLUMN($N$38))/Assumptions!$H$117*(Assumptions!$H$116-$I$21)</f>
        <v>0.47308491045356332</v>
      </c>
      <c r="R38" s="331">
        <f>$I$21+(COLUMN()-COLUMN($N$38))/Assumptions!$H$117*(Assumptions!$H$116-$I$21)</f>
        <v>0.47044654727141777</v>
      </c>
      <c r="S38" s="331">
        <f>$I$21+(COLUMN()-COLUMN($N$38))/Assumptions!$H$117*(Assumptions!$H$116-$I$21)</f>
        <v>0.46780818408927222</v>
      </c>
    </row>
    <row r="39" spans="2:19" x14ac:dyDescent="0.35">
      <c r="B39" s="30" t="s">
        <v>448</v>
      </c>
      <c r="D39" s="95"/>
      <c r="E39" s="7">
        <f>IF(E11=1,E37,E38)</f>
        <v>312947.83106719214</v>
      </c>
      <c r="N39" s="95" t="s">
        <v>556</v>
      </c>
      <c r="O39" s="224">
        <f>O37*O38</f>
        <v>373922.49004142522</v>
      </c>
      <c r="P39" s="224">
        <f>P37*P38</f>
        <v>405825.33792959916</v>
      </c>
      <c r="Q39" s="224">
        <f>Q37*Q38</f>
        <v>431512.37868947117</v>
      </c>
      <c r="R39" s="224">
        <f>R37*R38</f>
        <v>449322.27009341237</v>
      </c>
      <c r="S39" s="224">
        <f>S37*S38</f>
        <v>457972.43570808606</v>
      </c>
    </row>
    <row r="40" spans="2:19" x14ac:dyDescent="0.35">
      <c r="B40" s="30" t="s">
        <v>449</v>
      </c>
      <c r="D40" s="95"/>
      <c r="E40" s="7">
        <f>E39/(E6-E7)</f>
        <v>4775235.2495977096</v>
      </c>
      <c r="N40" s="95" t="s">
        <v>440</v>
      </c>
      <c r="O40" s="224">
        <f>O39*(1-$E$8)</f>
        <v>299137.99203314021</v>
      </c>
      <c r="P40" s="224">
        <f>P39*(1-$E$8)</f>
        <v>324660.27034367935</v>
      </c>
      <c r="Q40" s="224">
        <f>Q39*(1-$E$8)</f>
        <v>345209.90295157698</v>
      </c>
      <c r="R40" s="224">
        <f>R39*(1-$E$8)</f>
        <v>359457.8160747299</v>
      </c>
      <c r="S40" s="224">
        <f>S39*(1-$E$8)</f>
        <v>366377.9485664689</v>
      </c>
    </row>
    <row r="41" spans="2:19" x14ac:dyDescent="0.35">
      <c r="B41" s="30" t="s">
        <v>450</v>
      </c>
      <c r="D41" s="95"/>
      <c r="E41" s="7">
        <f>E40/(1+E6)^(10-0.5*E10)</f>
        <v>2096120.6721876541</v>
      </c>
      <c r="N41" s="95" t="s">
        <v>557</v>
      </c>
      <c r="O41" s="232">
        <f>$E$9</f>
        <v>0.15</v>
      </c>
      <c r="P41" s="232">
        <f>$E$9</f>
        <v>0.15</v>
      </c>
      <c r="Q41" s="232">
        <f>$E$9</f>
        <v>0.15</v>
      </c>
      <c r="R41" s="232">
        <f>$E$9</f>
        <v>0.15</v>
      </c>
      <c r="S41" s="232">
        <f>$E$9</f>
        <v>0.15</v>
      </c>
    </row>
    <row r="42" spans="2:19" x14ac:dyDescent="0.35">
      <c r="N42" s="95" t="s">
        <v>558</v>
      </c>
      <c r="O42" s="232">
        <f>O36/O41</f>
        <v>0.75634311324738068</v>
      </c>
      <c r="P42" s="232">
        <f>P36/P41</f>
        <v>0.60892400160220228</v>
      </c>
      <c r="Q42" s="232">
        <f>Q36/Q41</f>
        <v>0.46150488995702371</v>
      </c>
      <c r="R42" s="232">
        <f>R36/R41</f>
        <v>0.31408577831184514</v>
      </c>
      <c r="S42" s="232">
        <f>S36/S41</f>
        <v>0.16666666666666663</v>
      </c>
    </row>
    <row r="43" spans="2:19" x14ac:dyDescent="0.35">
      <c r="B43" s="218" t="s">
        <v>451</v>
      </c>
      <c r="N43" s="95" t="s">
        <v>559</v>
      </c>
      <c r="O43" s="224">
        <f>O40*O42</f>
        <v>226250.96018491543</v>
      </c>
      <c r="P43" s="224">
        <f>P40*P42</f>
        <v>197693.43097892604</v>
      </c>
      <c r="Q43" s="224">
        <f>Q40*Q42</f>
        <v>159316.05827374238</v>
      </c>
      <c r="R43" s="224">
        <f>R40*R42</f>
        <v>112900.58793210762</v>
      </c>
      <c r="S43" s="224">
        <f>S40*S42</f>
        <v>61062.991427744804</v>
      </c>
    </row>
    <row r="44" spans="2:19" x14ac:dyDescent="0.35">
      <c r="B44" s="30" t="s">
        <v>568</v>
      </c>
      <c r="D44" s="95"/>
      <c r="E44" s="7">
        <f>SUM(E32:I32)+SUM(O46:S46)</f>
        <v>912628.53793393052</v>
      </c>
      <c r="N44" s="225" t="s">
        <v>560</v>
      </c>
      <c r="O44" s="226">
        <f>O40-O43</f>
        <v>72887.031848224782</v>
      </c>
      <c r="P44" s="226">
        <f>P40-P43</f>
        <v>126966.83936475331</v>
      </c>
      <c r="Q44" s="226">
        <f>Q40-Q43</f>
        <v>185893.8446778346</v>
      </c>
      <c r="R44" s="226">
        <f>R40-R43</f>
        <v>246557.22814262228</v>
      </c>
      <c r="S44" s="226">
        <f>S40-S43</f>
        <v>305314.9571387241</v>
      </c>
    </row>
    <row r="45" spans="2:19" x14ac:dyDescent="0.35">
      <c r="B45" s="30" t="s">
        <v>450</v>
      </c>
      <c r="D45" s="95"/>
      <c r="E45" s="7">
        <f>E41</f>
        <v>2096120.6721876541</v>
      </c>
      <c r="N45" s="95" t="s">
        <v>561</v>
      </c>
      <c r="O45" s="223">
        <v>6</v>
      </c>
      <c r="P45" s="223">
        <v>7</v>
      </c>
      <c r="Q45" s="223">
        <v>8</v>
      </c>
      <c r="R45" s="223">
        <v>9</v>
      </c>
      <c r="S45" s="223">
        <v>10</v>
      </c>
    </row>
    <row r="46" spans="2:19" ht="15" thickBot="1" x14ac:dyDescent="0.4">
      <c r="B46" s="31" t="s">
        <v>452</v>
      </c>
      <c r="D46" s="95"/>
      <c r="E46" s="230">
        <f>E44+E45</f>
        <v>3008749.2101215846</v>
      </c>
      <c r="N46" s="233" t="s">
        <v>445</v>
      </c>
      <c r="O46" s="234">
        <f>O44/(1+$E$6)^(O45-0.5*$E$10)</f>
        <v>45251.308174538979</v>
      </c>
      <c r="P46" s="234">
        <f>P44/(1+$E$6)^(P45-0.5*$E$10)</f>
        <v>72282.196497483092</v>
      </c>
      <c r="Q46" s="234">
        <f>Q44/(1+$E$6)^(Q45-0.5*$E$10)</f>
        <v>97043.444061893984</v>
      </c>
      <c r="R46" s="234">
        <f>R44/(1+$E$6)^(R45-0.5*$E$10)</f>
        <v>118026.38064005825</v>
      </c>
      <c r="S46" s="234">
        <f>S44/(1+$E$6)^(S45-0.5*$E$10)</f>
        <v>134019.99267794861</v>
      </c>
    </row>
    <row r="47" spans="2:19" x14ac:dyDescent="0.35">
      <c r="B47" s="30" t="s">
        <v>453</v>
      </c>
      <c r="D47" s="95"/>
      <c r="E47" s="19">
        <f>E45/E46</f>
        <v>0.69667510510221264</v>
      </c>
    </row>
    <row r="48" spans="2:19" x14ac:dyDescent="0.35">
      <c r="B48" s="30" t="s">
        <v>534</v>
      </c>
      <c r="D48" s="95"/>
      <c r="E48" s="41">
        <f>MAX(0,'3 statement Model'!I93-Assumptions!H118)</f>
        <v>65337.333333333336</v>
      </c>
      <c r="G48" t="s">
        <v>535</v>
      </c>
      <c r="N48" s="95" t="s">
        <v>562</v>
      </c>
      <c r="O48" s="287">
        <f>S36-$E$7</f>
        <v>0</v>
      </c>
    </row>
    <row r="49" spans="2:15" x14ac:dyDescent="0.35">
      <c r="B49" s="30" t="s">
        <v>536</v>
      </c>
      <c r="D49" s="95"/>
      <c r="E49" s="41">
        <f>'3 statement Model'!I100*Assumptions!H119</f>
        <v>27261</v>
      </c>
      <c r="G49" t="s">
        <v>537</v>
      </c>
      <c r="N49" s="95" t="s">
        <v>563</v>
      </c>
      <c r="O49" s="222">
        <f>S38-Assumptions!$H$116</f>
        <v>0</v>
      </c>
    </row>
    <row r="50" spans="2:15" x14ac:dyDescent="0.35">
      <c r="B50" s="30" t="s">
        <v>454</v>
      </c>
      <c r="D50" s="95"/>
      <c r="E50" s="41">
        <f>-'3 statement Model'!I224</f>
        <v>-40294</v>
      </c>
      <c r="N50" s="95" t="s">
        <v>564</v>
      </c>
      <c r="O50" s="287">
        <f>E37/S44-1</f>
        <v>2.4999999999999689E-2</v>
      </c>
    </row>
    <row r="51" spans="2:15" x14ac:dyDescent="0.35">
      <c r="B51" s="30" t="s">
        <v>455</v>
      </c>
      <c r="D51" s="95"/>
      <c r="E51" s="41">
        <f>-'3 statement Model'!I293</f>
        <v>-66594</v>
      </c>
      <c r="G51" s="29" t="s">
        <v>456</v>
      </c>
    </row>
    <row r="52" spans="2:15" x14ac:dyDescent="0.35">
      <c r="B52" s="30" t="s">
        <v>457</v>
      </c>
      <c r="D52" s="95"/>
      <c r="E52" s="7">
        <f>SUM(E48:E51)</f>
        <v>-14289.666666666657</v>
      </c>
    </row>
    <row r="53" spans="2:15" x14ac:dyDescent="0.35">
      <c r="B53" s="31" t="s">
        <v>458</v>
      </c>
      <c r="D53" s="95"/>
      <c r="E53" s="230">
        <f>E46+E52</f>
        <v>2994459.5434549181</v>
      </c>
    </row>
    <row r="54" spans="2:15" x14ac:dyDescent="0.35">
      <c r="B54" s="30" t="s">
        <v>431</v>
      </c>
      <c r="D54" s="95"/>
      <c r="E54" s="7">
        <f>E12</f>
        <v>7425.55</v>
      </c>
    </row>
    <row r="55" spans="2:15" x14ac:dyDescent="0.35">
      <c r="B55" s="31" t="s">
        <v>459</v>
      </c>
      <c r="D55" s="95"/>
      <c r="E55" s="288">
        <f>E53/E54</f>
        <v>403.26434317389527</v>
      </c>
    </row>
    <row r="56" spans="2:15" x14ac:dyDescent="0.35">
      <c r="B56" s="30" t="s">
        <v>432</v>
      </c>
      <c r="D56" s="95"/>
      <c r="E56" s="286">
        <f>E13</f>
        <v>531.33000000000004</v>
      </c>
    </row>
    <row r="57" spans="2:15" x14ac:dyDescent="0.35">
      <c r="B57" s="30" t="s">
        <v>460</v>
      </c>
      <c r="D57" s="95"/>
      <c r="E57" s="265">
        <f>E55/E56-1</f>
        <v>-0.24102846973840131</v>
      </c>
    </row>
    <row r="59" spans="2:15" x14ac:dyDescent="0.35">
      <c r="B59" s="218" t="s">
        <v>461</v>
      </c>
    </row>
    <row r="60" spans="2:15" x14ac:dyDescent="0.35">
      <c r="B60" s="30" t="s">
        <v>569</v>
      </c>
      <c r="D60" s="95"/>
      <c r="E60" s="231">
        <f>E40/S39</f>
        <v>10.426905370875788</v>
      </c>
    </row>
    <row r="61" spans="2:15" x14ac:dyDescent="0.35">
      <c r="B61" s="30" t="s">
        <v>462</v>
      </c>
      <c r="D61" s="95"/>
      <c r="E61" s="231">
        <f>E46/(E20+E24)</f>
        <v>12.820626659452</v>
      </c>
    </row>
    <row r="62" spans="2:15" x14ac:dyDescent="0.35">
      <c r="B62" s="30" t="s">
        <v>463</v>
      </c>
      <c r="D62" s="95"/>
      <c r="E62" s="332">
        <f>E53/'3 statement Model'!J33</f>
        <v>20.970319715148197</v>
      </c>
    </row>
    <row r="63" spans="2:15" x14ac:dyDescent="0.35">
      <c r="B63" s="30" t="s">
        <v>464</v>
      </c>
      <c r="E63" s="32"/>
    </row>
    <row r="64" spans="2:15" x14ac:dyDescent="0.35">
      <c r="B64" s="30"/>
      <c r="E64" s="32"/>
    </row>
    <row r="66" spans="2:8" x14ac:dyDescent="0.35">
      <c r="B66" s="31"/>
      <c r="C66" s="31"/>
      <c r="D66" s="31"/>
      <c r="E66" s="31"/>
      <c r="F66" s="31"/>
      <c r="G66" s="31"/>
      <c r="H66" s="31"/>
    </row>
    <row r="67" spans="2:8" x14ac:dyDescent="0.35">
      <c r="C67" s="33"/>
      <c r="D67" s="34"/>
      <c r="E67" s="34"/>
      <c r="F67" s="34"/>
      <c r="G67" s="34"/>
      <c r="H67" s="34"/>
    </row>
    <row r="68" spans="2:8" x14ac:dyDescent="0.35">
      <c r="C68" s="35"/>
      <c r="D68" s="32"/>
      <c r="E68" s="32"/>
      <c r="F68" s="32"/>
      <c r="G68" s="32"/>
      <c r="H68" s="32"/>
    </row>
    <row r="69" spans="2:8" x14ac:dyDescent="0.35">
      <c r="C69" s="35"/>
      <c r="D69" s="32"/>
      <c r="E69" s="32"/>
      <c r="F69" s="32"/>
      <c r="G69" s="32"/>
      <c r="H69" s="32"/>
    </row>
    <row r="70" spans="2:8" x14ac:dyDescent="0.35">
      <c r="C70" s="35"/>
      <c r="D70" s="32"/>
      <c r="E70" s="32"/>
      <c r="F70" s="32"/>
      <c r="G70" s="32"/>
      <c r="H70" s="32"/>
    </row>
    <row r="71" spans="2:8" x14ac:dyDescent="0.35">
      <c r="C71" s="35"/>
      <c r="D71" s="32"/>
      <c r="E71" s="32"/>
      <c r="F71" s="32"/>
      <c r="G71" s="32"/>
      <c r="H71" s="32"/>
    </row>
    <row r="72" spans="2:8" x14ac:dyDescent="0.35">
      <c r="C72" s="35"/>
      <c r="D72" s="32"/>
      <c r="E72" s="32"/>
      <c r="F72" s="32"/>
      <c r="G72" s="32"/>
      <c r="H72" s="32"/>
    </row>
    <row r="74" spans="2:8" x14ac:dyDescent="0.35">
      <c r="B74" s="31"/>
      <c r="C74" s="31"/>
      <c r="D74" s="31"/>
      <c r="E74" s="31"/>
      <c r="F74" s="31"/>
      <c r="G74" s="31"/>
      <c r="H74" s="31"/>
    </row>
    <row r="75" spans="2:8" x14ac:dyDescent="0.35">
      <c r="C75" s="33"/>
      <c r="D75" s="36"/>
      <c r="E75" s="36"/>
      <c r="F75" s="36"/>
      <c r="G75" s="36"/>
      <c r="H75" s="36"/>
    </row>
    <row r="76" spans="2:8" x14ac:dyDescent="0.35">
      <c r="C76" s="35"/>
      <c r="D76" s="32"/>
      <c r="E76" s="32"/>
      <c r="F76" s="32"/>
      <c r="G76" s="32"/>
      <c r="H76" s="32"/>
    </row>
    <row r="77" spans="2:8" x14ac:dyDescent="0.35">
      <c r="C77" s="35"/>
      <c r="D77" s="32"/>
      <c r="E77" s="32"/>
      <c r="F77" s="32"/>
      <c r="G77" s="32"/>
      <c r="H77" s="32"/>
    </row>
    <row r="78" spans="2:8" x14ac:dyDescent="0.35">
      <c r="B78" s="31"/>
      <c r="C78" s="31"/>
      <c r="D78" s="31"/>
      <c r="E78" s="31"/>
      <c r="F78" s="31"/>
      <c r="G78" s="31"/>
      <c r="H78" s="31"/>
    </row>
    <row r="79" spans="2:8" x14ac:dyDescent="0.35">
      <c r="C79" s="33"/>
      <c r="D79" s="34"/>
      <c r="E79" s="34"/>
      <c r="F79" s="34"/>
      <c r="G79" s="34"/>
      <c r="H79" s="34"/>
    </row>
    <row r="80" spans="2:8" x14ac:dyDescent="0.35">
      <c r="C80" s="35"/>
      <c r="D80" s="32"/>
      <c r="E80" s="32"/>
      <c r="F80" s="32"/>
      <c r="G80" s="32"/>
      <c r="H80" s="32"/>
    </row>
    <row r="81" spans="2:8" x14ac:dyDescent="0.35">
      <c r="C81" s="35"/>
      <c r="D81" s="32"/>
      <c r="E81" s="32"/>
      <c r="F81" s="32"/>
      <c r="G81" s="32"/>
      <c r="H81" s="32"/>
    </row>
    <row r="82" spans="2:8" x14ac:dyDescent="0.35">
      <c r="C82" s="35"/>
      <c r="D82" s="32"/>
      <c r="E82" s="32"/>
      <c r="F82" s="32"/>
      <c r="G82" s="32"/>
      <c r="H82" s="32"/>
    </row>
    <row r="83" spans="2:8" x14ac:dyDescent="0.35">
      <c r="C83" s="35"/>
      <c r="D83" s="32"/>
      <c r="E83" s="32"/>
      <c r="F83" s="32"/>
      <c r="G83" s="32"/>
      <c r="H83" s="32"/>
    </row>
    <row r="84" spans="2:8" x14ac:dyDescent="0.35">
      <c r="C84" s="35"/>
      <c r="D84" s="32"/>
      <c r="E84" s="32"/>
      <c r="F84" s="32"/>
      <c r="G84" s="32"/>
      <c r="H84" s="32"/>
    </row>
    <row r="86" spans="2:8" x14ac:dyDescent="0.35">
      <c r="B86" s="31"/>
      <c r="C86" s="31"/>
      <c r="D86" s="31"/>
      <c r="E86" s="31"/>
      <c r="F86" s="31"/>
      <c r="G86" s="31"/>
      <c r="H86" s="31"/>
    </row>
    <row r="87" spans="2:8" x14ac:dyDescent="0.35">
      <c r="C87" s="33"/>
      <c r="D87" s="36"/>
      <c r="E87" s="36"/>
      <c r="F87" s="36"/>
      <c r="G87" s="36"/>
      <c r="H87" s="36"/>
    </row>
    <row r="88" spans="2:8" x14ac:dyDescent="0.35">
      <c r="C88" s="35"/>
      <c r="D88" s="32"/>
      <c r="E88" s="32"/>
      <c r="F88" s="32"/>
      <c r="G88" s="32"/>
      <c r="H88" s="32"/>
    </row>
    <row r="89" spans="2:8" x14ac:dyDescent="0.35">
      <c r="B89" s="29"/>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1E71A-9E6C-43FA-B4AB-628EFACD9B59}">
  <dimension ref="B1:H60"/>
  <sheetViews>
    <sheetView showGridLines="0" topLeftCell="A22" zoomScale="38" zoomScaleNormal="38" workbookViewId="0"/>
  </sheetViews>
  <sheetFormatPr defaultRowHeight="14.5" x14ac:dyDescent="0.35"/>
  <cols>
    <col min="2" max="2" width="117.1796875" bestFit="1" customWidth="1"/>
    <col min="3" max="3" width="19.453125" bestFit="1" customWidth="1"/>
    <col min="4" max="4" width="7.36328125" bestFit="1" customWidth="1"/>
    <col min="5" max="5" width="9.08984375" customWidth="1"/>
    <col min="6" max="8" width="7.36328125" bestFit="1" customWidth="1"/>
  </cols>
  <sheetData>
    <row r="1" spans="2:8" x14ac:dyDescent="0.35">
      <c r="H1" s="305" t="str">
        <f>HYPERLINK("#'Cover'!A1","Cover")</f>
        <v>Cover</v>
      </c>
    </row>
    <row r="2" spans="2:8" x14ac:dyDescent="0.35">
      <c r="B2" s="235" t="s">
        <v>465</v>
      </c>
      <c r="C2" s="235"/>
      <c r="D2" s="235"/>
      <c r="E2" s="235"/>
      <c r="F2" s="235"/>
      <c r="G2" s="235"/>
      <c r="H2" s="235"/>
    </row>
    <row r="3" spans="2:8" x14ac:dyDescent="0.35">
      <c r="B3" t="s">
        <v>693</v>
      </c>
    </row>
    <row r="5" spans="2:8" x14ac:dyDescent="0.35">
      <c r="B5" t="s">
        <v>466</v>
      </c>
      <c r="C5" t="s">
        <v>467</v>
      </c>
    </row>
    <row r="6" spans="2:8" x14ac:dyDescent="0.35">
      <c r="B6" s="95" t="s">
        <v>694</v>
      </c>
      <c r="C6" s="333">
        <f>DCF!E13</f>
        <v>531.33000000000004</v>
      </c>
    </row>
    <row r="7" spans="2:8" x14ac:dyDescent="0.35">
      <c r="B7" s="95" t="s">
        <v>468</v>
      </c>
      <c r="C7" s="44">
        <f>DCF!E6</f>
        <v>9.053558405181325E-2</v>
      </c>
    </row>
    <row r="8" spans="2:8" x14ac:dyDescent="0.35">
      <c r="B8" s="95" t="s">
        <v>424</v>
      </c>
      <c r="C8" s="44">
        <f>DCF!E7</f>
        <v>2.5000000000000001E-2</v>
      </c>
    </row>
    <row r="9" spans="2:8" x14ac:dyDescent="0.35">
      <c r="B9" s="95" t="s">
        <v>469</v>
      </c>
      <c r="C9" s="44">
        <f>DCF!E9</f>
        <v>0.15</v>
      </c>
    </row>
    <row r="12" spans="2:8" x14ac:dyDescent="0.35">
      <c r="B12" s="235" t="s">
        <v>470</v>
      </c>
      <c r="C12" s="235"/>
      <c r="D12" s="235"/>
      <c r="E12" s="235"/>
      <c r="F12" s="235"/>
      <c r="G12" s="235"/>
      <c r="H12" s="235"/>
    </row>
    <row r="13" spans="2:8" x14ac:dyDescent="0.35">
      <c r="C13" s="238" t="s">
        <v>471</v>
      </c>
      <c r="D13" s="334">
        <f>DCF!$E$9+(0-2)*0.03</f>
        <v>0.09</v>
      </c>
      <c r="E13" s="334">
        <f>DCF!$E$9+(1-2)*0.03</f>
        <v>0.12</v>
      </c>
      <c r="F13" s="334">
        <f>DCF!$E$9+(2-2)*0.03</f>
        <v>0.15</v>
      </c>
      <c r="G13" s="334">
        <f>DCF!$E$9+(3-2)*0.03</f>
        <v>0.18</v>
      </c>
      <c r="H13" s="334">
        <f>DCF!$E$9+(4-2)*0.03</f>
        <v>0.21</v>
      </c>
    </row>
    <row r="14" spans="2:8" x14ac:dyDescent="0.35">
      <c r="B14" s="95"/>
      <c r="C14" s="44">
        <f>DCF!$E$6+(0-2)*0.005</f>
        <v>8.0535584051813255E-2</v>
      </c>
      <c r="D14" s="335" cm="1">
        <f t="array" ref="D14">IFERROR((SUMPRODUCT(DCF!$E$27:$I$27,1/(1+$C14)^(DCF!$E$17:$I$17-0.5*DCF!$E$10))+SUMPRODUCT(DCF!$O$44:$S$44,1/(1+$C14)^(DCF!$O$45:$S$45-0.5*DCF!$E$10))+(DCF!$S$40*(1+DCF!$E$7)*(1-DCF!$E$7/D$13)/($C14-DCF!$E$7))/(1+$C14)^(10-0.5*DCF!$E$10)+DCF!$E$52)/DCF!$E$54,"")</f>
        <v>442.50777183116065</v>
      </c>
      <c r="E14" s="335" cm="1">
        <f t="array" ref="E14">IFERROR((SUMPRODUCT(DCF!$E$27:$I$27,1/(1+$C14)^(DCF!$E$17:$I$17-0.5*DCF!$E$10))+SUMPRODUCT(DCF!$O$44:$S$44,1/(1+$C14)^(DCF!$O$45:$S$45-0.5*DCF!$E$10))+(DCF!$S$40*(1+DCF!$E$7)*(1-DCF!$E$7/E$13)/($C14-DCF!$E$7))/(1+$C14)^(10-0.5*DCF!$E$10)+DCF!$E$52)/DCF!$E$54,"")</f>
        <v>472.80616036791633</v>
      </c>
      <c r="F14" s="335" cm="1">
        <f t="array" ref="F14">IFERROR((SUMPRODUCT(DCF!$E$27:$I$27,1/(1+$C14)^(DCF!$E$17:$I$17-0.5*DCF!$E$10))+SUMPRODUCT(DCF!$O$44:$S$44,1/(1+$C14)^(DCF!$O$45:$S$45-0.5*DCF!$E$10))+(DCF!$S$40*(1+DCF!$E$7)*(1-DCF!$E$7/F$13)/($C14-DCF!$E$7))/(1+$C14)^(10-0.5*DCF!$E$10)+DCF!$E$52)/DCF!$E$54,"")</f>
        <v>490.98519348996979</v>
      </c>
      <c r="G14" s="335" cm="1">
        <f t="array" ref="G14">IFERROR((SUMPRODUCT(DCF!$E$27:$I$27,1/(1+$C14)^(DCF!$E$17:$I$17-0.5*DCF!$E$10))+SUMPRODUCT(DCF!$O$44:$S$44,1/(1+$C14)^(DCF!$O$45:$S$45-0.5*DCF!$E$10))+(DCF!$S$40*(1+DCF!$E$7)*(1-DCF!$E$7/G$13)/($C14-DCF!$E$7))/(1+$C14)^(10-0.5*DCF!$E$10)+DCF!$E$52)/DCF!$E$54,"")</f>
        <v>503.10454890467219</v>
      </c>
      <c r="H14" s="335" cm="1">
        <f t="array" ref="H14">IFERROR((SUMPRODUCT(DCF!$E$27:$I$27,1/(1+$C14)^(DCF!$E$17:$I$17-0.5*DCF!$E$10))+SUMPRODUCT(DCF!$O$44:$S$44,1/(1+$C14)^(DCF!$O$45:$S$45-0.5*DCF!$E$10))+(DCF!$S$40*(1+DCF!$E$7)*(1-DCF!$E$7/H$13)/($C14-DCF!$E$7))/(1+$C14)^(10-0.5*DCF!$E$10)+DCF!$E$52)/DCF!$E$54,"")</f>
        <v>511.76123134374518</v>
      </c>
    </row>
    <row r="15" spans="2:8" x14ac:dyDescent="0.35">
      <c r="B15" s="95"/>
      <c r="C15" s="44">
        <f>DCF!$E$6+(1-2)*0.005</f>
        <v>8.5535584051813246E-2</v>
      </c>
      <c r="D15" s="335" cm="1">
        <f t="array" ref="D15">IFERROR((SUMPRODUCT(DCF!$E$27:$I$27,1/(1+$C15)^(DCF!$E$17:$I$17-0.5*DCF!$E$10))+SUMPRODUCT(DCF!$O$44:$S$44,1/(1+$C15)^(DCF!$O$45:$S$45-0.5*DCF!$E$10))+(DCF!$S$40*(1+DCF!$E$7)*(1-DCF!$E$7/D$13)/($C15-DCF!$E$7))/(1+$C15)^(10-0.5*DCF!$E$10)+DCF!$E$52)/DCF!$E$54,"")</f>
        <v>400.80522391108457</v>
      </c>
      <c r="E15" s="335" cm="1">
        <f t="array" ref="E15">IFERROR((SUMPRODUCT(DCF!$E$27:$I$27,1/(1+$C15)^(DCF!$E$17:$I$17-0.5*DCF!$E$10))+SUMPRODUCT(DCF!$O$44:$S$44,1/(1+$C15)^(DCF!$O$45:$S$45-0.5*DCF!$E$10))+(DCF!$S$40*(1+DCF!$E$7)*(1-DCF!$E$7/E$13)/($C15-DCF!$E$7))/(1+$C15)^(10-0.5*DCF!$E$10)+DCF!$E$52)/DCF!$E$54,"")</f>
        <v>427.40835323509486</v>
      </c>
      <c r="F15" s="335" cm="1">
        <f t="array" ref="F15">IFERROR((SUMPRODUCT(DCF!$E$27:$I$27,1/(1+$C15)^(DCF!$E$17:$I$17-0.5*DCF!$E$10))+SUMPRODUCT(DCF!$O$44:$S$44,1/(1+$C15)^(DCF!$O$45:$S$45-0.5*DCF!$E$10))+(DCF!$S$40*(1+DCF!$E$7)*(1-DCF!$E$7/F$13)/($C15-DCF!$E$7))/(1+$C15)^(10-0.5*DCF!$E$10)+DCF!$E$52)/DCF!$E$54,"")</f>
        <v>443.370230829501</v>
      </c>
      <c r="G15" s="335" cm="1">
        <f t="array" ref="G15">IFERROR((SUMPRODUCT(DCF!$E$27:$I$27,1/(1+$C15)^(DCF!$E$17:$I$17-0.5*DCF!$E$10))+SUMPRODUCT(DCF!$O$44:$S$44,1/(1+$C15)^(DCF!$O$45:$S$45-0.5*DCF!$E$10))+(DCF!$S$40*(1+DCF!$E$7)*(1-DCF!$E$7/G$13)/($C15-DCF!$E$7))/(1+$C15)^(10-0.5*DCF!$E$10)+DCF!$E$52)/DCF!$E$54,"")</f>
        <v>454.01148255910516</v>
      </c>
      <c r="H15" s="335" cm="1">
        <f t="array" ref="H15">IFERROR((SUMPRODUCT(DCF!$E$27:$I$27,1/(1+$C15)^(DCF!$E$17:$I$17-0.5*DCF!$E$10))+SUMPRODUCT(DCF!$O$44:$S$44,1/(1+$C15)^(DCF!$O$45:$S$45-0.5*DCF!$E$10))+(DCF!$S$40*(1+DCF!$E$7)*(1-DCF!$E$7/H$13)/($C15-DCF!$E$7))/(1+$C15)^(10-0.5*DCF!$E$10)+DCF!$E$52)/DCF!$E$54,"")</f>
        <v>461.61237665167943</v>
      </c>
    </row>
    <row r="16" spans="2:8" x14ac:dyDescent="0.35">
      <c r="B16" s="95"/>
      <c r="C16" s="44">
        <f>DCF!$E$6+(2-2)*0.005</f>
        <v>9.053558405181325E-2</v>
      </c>
      <c r="D16" s="335" cm="1">
        <f t="array" ref="D16">IFERROR((SUMPRODUCT(DCF!$E$27:$I$27,1/(1+$C16)^(DCF!$E$17:$I$17-0.5*DCF!$E$10))+SUMPRODUCT(DCF!$O$44:$S$44,1/(1+$C16)^(DCF!$O$45:$S$45-0.5*DCF!$E$10))+(DCF!$S$40*(1+DCF!$E$7)*(1-DCF!$E$7/D$13)/($C16-DCF!$E$7))/(1+$C16)^(10-0.5*DCF!$E$10)+DCF!$E$52)/DCF!$E$54,"")</f>
        <v>365.62635591481182</v>
      </c>
      <c r="E16" s="335" cm="1">
        <f t="array" ref="E16">IFERROR((SUMPRODUCT(DCF!$E$27:$I$27,1/(1+$C16)^(DCF!$E$17:$I$17-0.5*DCF!$E$10))+SUMPRODUCT(DCF!$O$44:$S$44,1/(1+$C16)^(DCF!$O$45:$S$45-0.5*DCF!$E$10))+(DCF!$S$40*(1+DCF!$E$7)*(1-DCF!$E$7/E$13)/($C16-DCF!$E$7))/(1+$C16)^(10-0.5*DCF!$E$10)+DCF!$E$52)/DCF!$E$54,"")</f>
        <v>389.15009795173904</v>
      </c>
      <c r="F16" s="335" cm="1">
        <f t="array" ref="F16">IFERROR((SUMPRODUCT(DCF!$E$27:$I$27,1/(1+$C16)^(DCF!$E$17:$I$17-0.5*DCF!$E$10))+SUMPRODUCT(DCF!$O$44:$S$44,1/(1+$C16)^(DCF!$O$45:$S$45-0.5*DCF!$E$10))+(DCF!$S$40*(1+DCF!$E$7)*(1-DCF!$E$7/F$13)/($C16-DCF!$E$7))/(1+$C16)^(10-0.5*DCF!$E$10)+DCF!$E$52)/DCF!$E$54,"")</f>
        <v>403.26434317389527</v>
      </c>
      <c r="G16" s="335" cm="1">
        <f t="array" ref="G16">IFERROR((SUMPRODUCT(DCF!$E$27:$I$27,1/(1+$C16)^(DCF!$E$17:$I$17-0.5*DCF!$E$10))+SUMPRODUCT(DCF!$O$44:$S$44,1/(1+$C16)^(DCF!$O$45:$S$45-0.5*DCF!$E$10))+(DCF!$S$40*(1+DCF!$E$7)*(1-DCF!$E$7/G$13)/($C16-DCF!$E$7))/(1+$C16)^(10-0.5*DCF!$E$10)+DCF!$E$52)/DCF!$E$54,"")</f>
        <v>412.6738399886662</v>
      </c>
      <c r="H16" s="335" cm="1">
        <f t="array" ref="H16">IFERROR((SUMPRODUCT(DCF!$E$27:$I$27,1/(1+$C16)^(DCF!$E$17:$I$17-0.5*DCF!$E$10))+SUMPRODUCT(DCF!$O$44:$S$44,1/(1+$C16)^(DCF!$O$45:$S$45-0.5*DCF!$E$10))+(DCF!$S$40*(1+DCF!$E$7)*(1-DCF!$E$7/H$13)/($C16-DCF!$E$7))/(1+$C16)^(10-0.5*DCF!$E$10)+DCF!$E$52)/DCF!$E$54,"")</f>
        <v>419.39490914207391</v>
      </c>
    </row>
    <row r="17" spans="2:8" x14ac:dyDescent="0.35">
      <c r="B17" s="95"/>
      <c r="C17" s="44">
        <f>DCF!$E$6+(3-2)*0.005</f>
        <v>9.5535584051813255E-2</v>
      </c>
      <c r="D17" s="335" cm="1">
        <f t="array" ref="D17">IFERROR((SUMPRODUCT(DCF!$E$27:$I$27,1/(1+$C17)^(DCF!$E$17:$I$17-0.5*DCF!$E$10))+SUMPRODUCT(DCF!$O$44:$S$44,1/(1+$C17)^(DCF!$O$45:$S$45-0.5*DCF!$E$10))+(DCF!$S$40*(1+DCF!$E$7)*(1-DCF!$E$7/D$13)/($C17-DCF!$E$7))/(1+$C17)^(10-0.5*DCF!$E$10)+DCF!$E$52)/DCF!$E$54,"")</f>
        <v>335.57802844114332</v>
      </c>
      <c r="E17" s="335" cm="1">
        <f t="array" ref="E17">IFERROR((SUMPRODUCT(DCF!$E$27:$I$27,1/(1+$C17)^(DCF!$E$17:$I$17-0.5*DCF!$E$10))+SUMPRODUCT(DCF!$O$44:$S$44,1/(1+$C17)^(DCF!$O$45:$S$45-0.5*DCF!$E$10))+(DCF!$S$40*(1+DCF!$E$7)*(1-DCF!$E$7/E$13)/($C17-DCF!$E$7))/(1+$C17)^(10-0.5*DCF!$E$10)+DCF!$E$52)/DCF!$E$54,"")</f>
        <v>356.50479676332344</v>
      </c>
      <c r="F17" s="335" cm="1">
        <f t="array" ref="F17">IFERROR((SUMPRODUCT(DCF!$E$27:$I$27,1/(1+$C17)^(DCF!$E$17:$I$17-0.5*DCF!$E$10))+SUMPRODUCT(DCF!$O$44:$S$44,1/(1+$C17)^(DCF!$O$45:$S$45-0.5*DCF!$E$10))+(DCF!$S$40*(1+DCF!$E$7)*(1-DCF!$E$7/F$13)/($C17-DCF!$E$7))/(1+$C17)^(10-0.5*DCF!$E$10)+DCF!$E$52)/DCF!$E$54,"")</f>
        <v>369.06085775663161</v>
      </c>
      <c r="G17" s="335" cm="1">
        <f t="array" ref="G17">IFERROR((SUMPRODUCT(DCF!$E$27:$I$27,1/(1+$C17)^(DCF!$E$17:$I$17-0.5*DCF!$E$10))+SUMPRODUCT(DCF!$O$44:$S$44,1/(1+$C17)^(DCF!$O$45:$S$45-0.5*DCF!$E$10))+(DCF!$S$40*(1+DCF!$E$7)*(1-DCF!$E$7/G$13)/($C17-DCF!$E$7))/(1+$C17)^(10-0.5*DCF!$E$10)+DCF!$E$52)/DCF!$E$54,"")</f>
        <v>377.43156508550373</v>
      </c>
      <c r="H17" s="335" cm="1">
        <f t="array" ref="H17">IFERROR((SUMPRODUCT(DCF!$E$27:$I$27,1/(1+$C17)^(DCF!$E$17:$I$17-0.5*DCF!$E$10))+SUMPRODUCT(DCF!$O$44:$S$44,1/(1+$C17)^(DCF!$O$45:$S$45-0.5*DCF!$E$10))+(DCF!$S$40*(1+DCF!$E$7)*(1-DCF!$E$7/H$13)/($C17-DCF!$E$7))/(1+$C17)^(10-0.5*DCF!$E$10)+DCF!$E$52)/DCF!$E$54,"")</f>
        <v>383.41064174898378</v>
      </c>
    </row>
    <row r="18" spans="2:8" x14ac:dyDescent="0.35">
      <c r="B18" s="95"/>
      <c r="C18" s="44">
        <f>DCF!$E$6+(4-2)*0.005</f>
        <v>0.10053558405181325</v>
      </c>
      <c r="D18" s="335" cm="1">
        <f t="array" ref="D18">IFERROR((SUMPRODUCT(DCF!$E$27:$I$27,1/(1+$C18)^(DCF!$E$17:$I$17-0.5*DCF!$E$10))+SUMPRODUCT(DCF!$O$44:$S$44,1/(1+$C18)^(DCF!$O$45:$S$45-0.5*DCF!$E$10))+(DCF!$S$40*(1+DCF!$E$7)*(1-DCF!$E$7/D$13)/($C18-DCF!$E$7))/(1+$C18)^(10-0.5*DCF!$E$10)+DCF!$E$52)/DCF!$E$54,"")</f>
        <v>309.63620475157228</v>
      </c>
      <c r="E18" s="335" cm="1">
        <f t="array" ref="E18">IFERROR((SUMPRODUCT(DCF!$E$27:$I$27,1/(1+$C18)^(DCF!$E$17:$I$17-0.5*DCF!$E$10))+SUMPRODUCT(DCF!$O$44:$S$44,1/(1+$C18)^(DCF!$O$45:$S$45-0.5*DCF!$E$10))+(DCF!$S$40*(1+DCF!$E$7)*(1-DCF!$E$7/E$13)/($C18-DCF!$E$7))/(1+$C18)^(10-0.5*DCF!$E$10)+DCF!$E$52)/DCF!$E$54,"")</f>
        <v>328.3504205406781</v>
      </c>
      <c r="F18" s="335" cm="1">
        <f t="array" ref="F18">IFERROR((SUMPRODUCT(DCF!$E$27:$I$27,1/(1+$C18)^(DCF!$E$17:$I$17-0.5*DCF!$E$10))+SUMPRODUCT(DCF!$O$44:$S$44,1/(1+$C18)^(DCF!$O$45:$S$45-0.5*DCF!$E$10))+(DCF!$S$40*(1+DCF!$E$7)*(1-DCF!$E$7/F$13)/($C18-DCF!$E$7))/(1+$C18)^(10-0.5*DCF!$E$10)+DCF!$E$52)/DCF!$E$54,"")</f>
        <v>339.57895001414153</v>
      </c>
      <c r="G18" s="335" cm="1">
        <f t="array" ref="G18">IFERROR((SUMPRODUCT(DCF!$E$27:$I$27,1/(1+$C18)^(DCF!$E$17:$I$17-0.5*DCF!$E$10))+SUMPRODUCT(DCF!$O$44:$S$44,1/(1+$C18)^(DCF!$O$45:$S$45-0.5*DCF!$E$10))+(DCF!$S$40*(1+DCF!$E$7)*(1-DCF!$E$7/G$13)/($C18-DCF!$E$7))/(1+$C18)^(10-0.5*DCF!$E$10)+DCF!$E$52)/DCF!$E$54,"")</f>
        <v>347.06463632978387</v>
      </c>
      <c r="H18" s="335" cm="1">
        <f t="array" ref="H18">IFERROR((SUMPRODUCT(DCF!$E$27:$I$27,1/(1+$C18)^(DCF!$E$17:$I$17-0.5*DCF!$E$10))+SUMPRODUCT(DCF!$O$44:$S$44,1/(1+$C18)^(DCF!$O$45:$S$45-0.5*DCF!$E$10))+(DCF!$S$40*(1+DCF!$E$7)*(1-DCF!$E$7/H$13)/($C18-DCF!$E$7))/(1+$C18)^(10-0.5*DCF!$E$10)+DCF!$E$52)/DCF!$E$54,"")</f>
        <v>352.41155512667115</v>
      </c>
    </row>
    <row r="21" spans="2:8" x14ac:dyDescent="0.35">
      <c r="B21" s="235" t="s">
        <v>472</v>
      </c>
      <c r="C21" s="235"/>
      <c r="D21" s="235"/>
      <c r="E21" s="235"/>
      <c r="F21" s="235"/>
      <c r="G21" s="235"/>
      <c r="H21" s="235"/>
    </row>
    <row r="22" spans="2:8" x14ac:dyDescent="0.35">
      <c r="C22" s="238" t="s">
        <v>473</v>
      </c>
      <c r="D22" s="334">
        <f>DCF!$E$7+(0-2)*0.005</f>
        <v>1.5000000000000001E-2</v>
      </c>
      <c r="E22" s="334">
        <f>DCF!$E$7+(1-2)*0.005</f>
        <v>0.02</v>
      </c>
      <c r="F22" s="334">
        <f>DCF!$E$7+(2-2)*0.005</f>
        <v>2.5000000000000001E-2</v>
      </c>
      <c r="G22" s="334">
        <f>DCF!$E$7+(3-2)*0.005</f>
        <v>3.0000000000000002E-2</v>
      </c>
      <c r="H22" s="334">
        <f>DCF!$E$7+(4-2)*0.005</f>
        <v>3.5000000000000003E-2</v>
      </c>
    </row>
    <row r="23" spans="2:8" x14ac:dyDescent="0.35">
      <c r="B23" s="95"/>
      <c r="C23" s="44">
        <f>DCF!$E$6+(0-2)*0.005</f>
        <v>8.0535584051813255E-2</v>
      </c>
      <c r="D23" s="335" cm="1">
        <f t="array" ref="D23">IFERROR((SUMPRODUCT(DCF!$E$27:$I$27,1/(1+$C23)^(DCF!$E$17:$I$17-0.5*DCF!$E$10))+SUMPRODUCT(DCF!$O$44:$S$44,1/(1+$C23)^(DCF!$O$45:$S$45-0.5*DCF!$E$10))+(DCF!$S$40*(1+D$22)*(1-D$22/DCF!$E$9)/($C23-D$22))/(1+$C23)^(10-0.5*DCF!$E$10)+DCF!$E$52)/DCF!$E$54,"")</f>
        <v>456.90867311300377</v>
      </c>
      <c r="E23" s="335" cm="1">
        <f t="array" ref="E23">IFERROR((SUMPRODUCT(DCF!$E$27:$I$27,1/(1+$C23)^(DCF!$E$17:$I$17-0.5*DCF!$E$10))+SUMPRODUCT(DCF!$O$44:$S$44,1/(1+$C23)^(DCF!$O$45:$S$45-0.5*DCF!$E$10))+(DCF!$S$40*(1+E$22)*(1-E$22/DCF!$E$9)/($C23-E$22))/(1+$C23)^(10-0.5*DCF!$E$10)+DCF!$E$52)/DCF!$E$54,"")</f>
        <v>472.60472333933899</v>
      </c>
      <c r="F23" s="335" cm="1">
        <f t="array" ref="F23">IFERROR((SUMPRODUCT(DCF!$E$27:$I$27,1/(1+$C23)^(DCF!$E$17:$I$17-0.5*DCF!$E$10))+SUMPRODUCT(DCF!$O$44:$S$44,1/(1+$C23)^(DCF!$O$45:$S$45-0.5*DCF!$E$10))+(DCF!$S$40*(1+F$22)*(1-F$22/DCF!$E$9)/($C23-F$22))/(1+$C23)^(10-0.5*DCF!$E$10)+DCF!$E$52)/DCF!$E$54,"")</f>
        <v>490.98519348996979</v>
      </c>
      <c r="G23" s="335" cm="1">
        <f t="array" ref="G23">IFERROR((SUMPRODUCT(DCF!$E$27:$I$27,1/(1+$C23)^(DCF!$E$17:$I$17-0.5*DCF!$E$10))+SUMPRODUCT(DCF!$O$44:$S$44,1/(1+$C23)^(DCF!$O$45:$S$45-0.5*DCF!$E$10))+(DCF!$S$40*(1+G$22)*(1-G$22/DCF!$E$9)/($C23-G$22))/(1+$C23)^(10-0.5*DCF!$E$10)+DCF!$E$52)/DCF!$E$54,"")</f>
        <v>512.84687457107452</v>
      </c>
      <c r="H23" s="335" cm="1">
        <f t="array" ref="H23">IFERROR((SUMPRODUCT(DCF!$E$27:$I$27,1/(1+$C23)^(DCF!$E$17:$I$17-0.5*DCF!$E$10))+SUMPRODUCT(DCF!$O$44:$S$44,1/(1+$C23)^(DCF!$O$45:$S$45-0.5*DCF!$E$10))+(DCF!$S$40*(1+H$22)*(1-H$22/DCF!$E$9)/($C23-H$22))/(1+$C23)^(10-0.5*DCF!$E$10)+DCF!$E$52)/DCF!$E$54,"")</f>
        <v>539.33652169833749</v>
      </c>
    </row>
    <row r="24" spans="2:8" x14ac:dyDescent="0.35">
      <c r="B24" s="95"/>
      <c r="C24" s="44">
        <f>DCF!$E$6+(1-2)*0.005</f>
        <v>8.5535584051813246E-2</v>
      </c>
      <c r="D24" s="335" cm="1">
        <f t="array" ref="D24">IFERROR((SUMPRODUCT(DCF!$E$27:$I$27,1/(1+$C24)^(DCF!$E$17:$I$17-0.5*DCF!$E$10))+SUMPRODUCT(DCF!$O$44:$S$44,1/(1+$C24)^(DCF!$O$45:$S$45-0.5*DCF!$E$10))+(DCF!$S$40*(1+D$22)*(1-D$22/DCF!$E$9)/($C24-D$22))/(1+$C24)^(10-0.5*DCF!$E$10)+DCF!$E$52)/DCF!$E$54,"")</f>
        <v>417.14263288145389</v>
      </c>
      <c r="E24" s="335" cm="1">
        <f t="array" ref="E24">IFERROR((SUMPRODUCT(DCF!$E$27:$I$27,1/(1+$C24)^(DCF!$E$17:$I$17-0.5*DCF!$E$10))+SUMPRODUCT(DCF!$O$44:$S$44,1/(1+$C24)^(DCF!$O$45:$S$45-0.5*DCF!$E$10))+(DCF!$S$40*(1+E$22)*(1-E$22/DCF!$E$9)/($C24-E$22))/(1+$C24)^(10-0.5*DCF!$E$10)+DCF!$E$52)/DCF!$E$54,"")</f>
        <v>429.31345989824274</v>
      </c>
      <c r="F24" s="335" cm="1">
        <f t="array" ref="F24">IFERROR((SUMPRODUCT(DCF!$E$27:$I$27,1/(1+$C24)^(DCF!$E$17:$I$17-0.5*DCF!$E$10))+SUMPRODUCT(DCF!$O$44:$S$44,1/(1+$C24)^(DCF!$O$45:$S$45-0.5*DCF!$E$10))+(DCF!$S$40*(1+F$22)*(1-F$22/DCF!$E$9)/($C24-F$22))/(1+$C24)^(10-0.5*DCF!$E$10)+DCF!$E$52)/DCF!$E$54,"")</f>
        <v>443.370230829501</v>
      </c>
      <c r="G24" s="335" cm="1">
        <f t="array" ref="G24">IFERROR((SUMPRODUCT(DCF!$E$27:$I$27,1/(1+$C24)^(DCF!$E$17:$I$17-0.5*DCF!$E$10))+SUMPRODUCT(DCF!$O$44:$S$44,1/(1+$C24)^(DCF!$O$45:$S$45-0.5*DCF!$E$10))+(DCF!$S$40*(1+G$22)*(1-G$22/DCF!$E$9)/($C24-G$22))/(1+$C24)^(10-0.5*DCF!$E$10)+DCF!$E$52)/DCF!$E$54,"")</f>
        <v>459.82233365052497</v>
      </c>
      <c r="H24" s="335" cm="1">
        <f t="array" ref="H24">IFERROR((SUMPRODUCT(DCF!$E$27:$I$27,1/(1+$C24)^(DCF!$E$17:$I$17-0.5*DCF!$E$10))+SUMPRODUCT(DCF!$O$44:$S$44,1/(1+$C24)^(DCF!$O$45:$S$45-0.5*DCF!$E$10))+(DCF!$S$40*(1+H$22)*(1-H$22/DCF!$E$9)/($C24-H$22))/(1+$C24)^(10-0.5*DCF!$E$10)+DCF!$E$52)/DCF!$E$54,"")</f>
        <v>479.38075209724298</v>
      </c>
    </row>
    <row r="25" spans="2:8" x14ac:dyDescent="0.35">
      <c r="B25" s="95"/>
      <c r="C25" s="44">
        <f>DCF!$E$6+(2-2)*0.005</f>
        <v>9.053558405181325E-2</v>
      </c>
      <c r="D25" s="335" cm="1">
        <f t="array" ref="D25">IFERROR((SUMPRODUCT(DCF!$E$27:$I$27,1/(1+$C25)^(DCF!$E$17:$I$17-0.5*DCF!$E$10))+SUMPRODUCT(DCF!$O$44:$S$44,1/(1+$C25)^(DCF!$O$45:$S$45-0.5*DCF!$E$10))+(DCF!$S$40*(1+D$22)*(1-D$22/DCF!$E$9)/($C25-D$22))/(1+$C25)^(10-0.5*DCF!$E$10)+DCF!$E$52)/DCF!$E$54,"")</f>
        <v>382.90577562493576</v>
      </c>
      <c r="E25" s="335" cm="1">
        <f t="array" ref="E25">IFERROR((SUMPRODUCT(DCF!$E$27:$I$27,1/(1+$C25)^(DCF!$E$17:$I$17-0.5*DCF!$E$10))+SUMPRODUCT(DCF!$O$44:$S$44,1/(1+$C25)^(DCF!$O$45:$S$45-0.5*DCF!$E$10))+(DCF!$S$40*(1+E$22)*(1-E$22/DCF!$E$9)/($C25-E$22))/(1+$C25)^(10-0.5*DCF!$E$10)+DCF!$E$52)/DCF!$E$54,"")</f>
        <v>392.41466415479664</v>
      </c>
      <c r="F25" s="335" cm="1">
        <f t="array" ref="F25">IFERROR((SUMPRODUCT(DCF!$E$27:$I$27,1/(1+$C25)^(DCF!$E$17:$I$17-0.5*DCF!$E$10))+SUMPRODUCT(DCF!$O$44:$S$44,1/(1+$C25)^(DCF!$O$45:$S$45-0.5*DCF!$E$10))+(DCF!$S$40*(1+F$22)*(1-F$22/DCF!$E$9)/($C25-F$22))/(1+$C25)^(10-0.5*DCF!$E$10)+DCF!$E$52)/DCF!$E$54,"")</f>
        <v>403.26434317389527</v>
      </c>
      <c r="G25" s="335" cm="1">
        <f t="array" ref="G25">IFERROR((SUMPRODUCT(DCF!$E$27:$I$27,1/(1+$C25)^(DCF!$E$17:$I$17-0.5*DCF!$E$10))+SUMPRODUCT(DCF!$O$44:$S$44,1/(1+$C25)^(DCF!$O$45:$S$45-0.5*DCF!$E$10))+(DCF!$S$40*(1+G$22)*(1-G$22/DCF!$E$9)/($C25-G$22))/(1+$C25)^(10-0.5*DCF!$E$10)+DCF!$E$52)/DCF!$E$54,"")</f>
        <v>415.78704466865088</v>
      </c>
      <c r="H25" s="335" cm="1">
        <f t="array" ref="H25">IFERROR((SUMPRODUCT(DCF!$E$27:$I$27,1/(1+$C25)^(DCF!$E$17:$I$17-0.5*DCF!$E$10))+SUMPRODUCT(DCF!$O$44:$S$44,1/(1+$C25)^(DCF!$O$45:$S$45-0.5*DCF!$E$10))+(DCF!$S$40*(1+H$22)*(1-H$22/DCF!$E$9)/($C25-H$22))/(1+$C25)^(10-0.5*DCF!$E$10)+DCF!$E$52)/DCF!$E$54,"")</f>
        <v>430.43464715197172</v>
      </c>
    </row>
    <row r="26" spans="2:8" x14ac:dyDescent="0.35">
      <c r="B26" s="95"/>
      <c r="C26" s="44">
        <f>DCF!$E$6+(3-2)*0.005</f>
        <v>9.5535584051813255E-2</v>
      </c>
      <c r="D26" s="335" cm="1">
        <f t="array" ref="D26">IFERROR((SUMPRODUCT(DCF!$E$27:$I$27,1/(1+$C26)^(DCF!$E$17:$I$17-0.5*DCF!$E$10))+SUMPRODUCT(DCF!$O$44:$S$44,1/(1+$C26)^(DCF!$O$45:$S$45-0.5*DCF!$E$10))+(DCF!$S$40*(1+D$22)*(1-D$22/DCF!$E$9)/($C26-D$22))/(1+$C26)^(10-0.5*DCF!$E$10)+DCF!$E$52)/DCF!$E$54,"")</f>
        <v>353.15722948043685</v>
      </c>
      <c r="E26" s="335" cm="1">
        <f t="array" ref="E26">IFERROR((SUMPRODUCT(DCF!$E$27:$I$27,1/(1+$C26)^(DCF!$E$17:$I$17-0.5*DCF!$E$10))+SUMPRODUCT(DCF!$O$44:$S$44,1/(1+$C26)^(DCF!$O$45:$S$45-0.5*DCF!$E$10))+(DCF!$S$40*(1+E$22)*(1-E$22/DCF!$E$9)/($C26-E$22))/(1+$C26)^(10-0.5*DCF!$E$10)+DCF!$E$52)/DCF!$E$54,"")</f>
        <v>360.6284372982974</v>
      </c>
      <c r="F26" s="335" cm="1">
        <f t="array" ref="F26">IFERROR((SUMPRODUCT(DCF!$E$27:$I$27,1/(1+$C26)^(DCF!$E$17:$I$17-0.5*DCF!$E$10))+SUMPRODUCT(DCF!$O$44:$S$44,1/(1+$C26)^(DCF!$O$45:$S$45-0.5*DCF!$E$10))+(DCF!$S$40*(1+F$22)*(1-F$22/DCF!$E$9)/($C26-F$22))/(1+$C26)^(10-0.5*DCF!$E$10)+DCF!$E$52)/DCF!$E$54,"")</f>
        <v>369.06085775663161</v>
      </c>
      <c r="G26" s="335" cm="1">
        <f t="array" ref="G26">IFERROR((SUMPRODUCT(DCF!$E$27:$I$27,1/(1+$C26)^(DCF!$E$17:$I$17-0.5*DCF!$E$10))+SUMPRODUCT(DCF!$O$44:$S$44,1/(1+$C26)^(DCF!$O$45:$S$45-0.5*DCF!$E$10))+(DCF!$S$40*(1+G$22)*(1-G$22/DCF!$E$9)/($C26-G$22))/(1+$C26)^(10-0.5*DCF!$E$10)+DCF!$E$52)/DCF!$E$54,"")</f>
        <v>378.67449636566312</v>
      </c>
      <c r="H26" s="335" cm="1">
        <f t="array" ref="H26">IFERROR((SUMPRODUCT(DCF!$E$27:$I$27,1/(1+$C26)^(DCF!$E$17:$I$17-0.5*DCF!$E$10))+SUMPRODUCT(DCF!$O$44:$S$44,1/(1+$C26)^(DCF!$O$45:$S$45-0.5*DCF!$E$10))+(DCF!$S$40*(1+H$22)*(1-H$22/DCF!$E$9)/($C26-H$22))/(1+$C26)^(10-0.5*DCF!$E$10)+DCF!$E$52)/DCF!$E$54,"")</f>
        <v>389.76204497825762</v>
      </c>
    </row>
    <row r="27" spans="2:8" x14ac:dyDescent="0.35">
      <c r="B27" s="95"/>
      <c r="C27" s="44">
        <f>DCF!$E$6+(4-2)*0.005</f>
        <v>0.10053558405181325</v>
      </c>
      <c r="D27" s="335" cm="1">
        <f t="array" ref="D27">IFERROR((SUMPRODUCT(DCF!$E$27:$I$27,1/(1+$C27)^(DCF!$E$17:$I$17-0.5*DCF!$E$10))+SUMPRODUCT(DCF!$O$44:$S$44,1/(1+$C27)^(DCF!$O$45:$S$45-0.5*DCF!$E$10))+(DCF!$S$40*(1+D$22)*(1-D$22/DCF!$E$9)/($C27-D$22))/(1+$C27)^(10-0.5*DCF!$E$10)+DCF!$E$52)/DCF!$E$54,"")</f>
        <v>327.10001393813275</v>
      </c>
      <c r="E27" s="335" cm="1">
        <f t="array" ref="E27">IFERROR((SUMPRODUCT(DCF!$E$27:$I$27,1/(1+$C27)^(DCF!$E$17:$I$17-0.5*DCF!$E$10))+SUMPRODUCT(DCF!$O$44:$S$44,1/(1+$C27)^(DCF!$O$45:$S$45-0.5*DCF!$E$10))+(DCF!$S$40*(1+E$22)*(1-E$22/DCF!$E$9)/($C27-E$22))/(1+$C27)^(10-0.5*DCF!$E$10)+DCF!$E$52)/DCF!$E$54,"")</f>
        <v>332.99320680998426</v>
      </c>
      <c r="F27" s="335" cm="1">
        <f t="array" ref="F27">IFERROR((SUMPRODUCT(DCF!$E$27:$I$27,1/(1+$C27)^(DCF!$E$17:$I$17-0.5*DCF!$E$10))+SUMPRODUCT(DCF!$O$44:$S$44,1/(1+$C27)^(DCF!$O$45:$S$45-0.5*DCF!$E$10))+(DCF!$S$40*(1+F$22)*(1-F$22/DCF!$E$9)/($C27-F$22))/(1+$C27)^(10-0.5*DCF!$E$10)+DCF!$E$52)/DCF!$E$54,"")</f>
        <v>339.57895001414153</v>
      </c>
      <c r="G27" s="335" cm="1">
        <f t="array" ref="G27">IFERROR((SUMPRODUCT(DCF!$E$27:$I$27,1/(1+$C27)^(DCF!$E$17:$I$17-0.5*DCF!$E$10))+SUMPRODUCT(DCF!$O$44:$S$44,1/(1+$C27)^(DCF!$O$45:$S$45-0.5*DCF!$E$10))+(DCF!$S$40*(1+G$22)*(1-G$22/DCF!$E$9)/($C27-G$22))/(1+$C27)^(10-0.5*DCF!$E$10)+DCF!$E$52)/DCF!$E$54,"")</f>
        <v>347.00452034889383</v>
      </c>
      <c r="H27" s="335" cm="1">
        <f t="array" ref="H27">IFERROR((SUMPRODUCT(DCF!$E$27:$I$27,1/(1+$C27)^(DCF!$E$17:$I$17-0.5*DCF!$E$10))+SUMPRODUCT(DCF!$O$44:$S$44,1/(1+$C27)^(DCF!$O$45:$S$45-0.5*DCF!$E$10))+(DCF!$S$40*(1+H$22)*(1-H$22/DCF!$E$9)/($C27-H$22))/(1+$C27)^(10-0.5*DCF!$E$10)+DCF!$E$52)/DCF!$E$54,"")</f>
        <v>355.46214020977129</v>
      </c>
    </row>
    <row r="30" spans="2:8" x14ac:dyDescent="0.35">
      <c r="B30" s="235" t="s">
        <v>474</v>
      </c>
      <c r="C30" s="235"/>
      <c r="D30" s="235"/>
      <c r="E30" s="235"/>
      <c r="F30" s="235"/>
      <c r="G30" s="235"/>
      <c r="H30" s="235"/>
    </row>
    <row r="31" spans="2:8" x14ac:dyDescent="0.35">
      <c r="B31" t="s">
        <v>570</v>
      </c>
    </row>
    <row r="32" spans="2:8" x14ac:dyDescent="0.35">
      <c r="B32" t="s">
        <v>475</v>
      </c>
    </row>
    <row r="33" spans="2:8" x14ac:dyDescent="0.35">
      <c r="B33" t="s">
        <v>476</v>
      </c>
    </row>
    <row r="34" spans="2:8" x14ac:dyDescent="0.35">
      <c r="B34" t="s">
        <v>571</v>
      </c>
    </row>
    <row r="35" spans="2:8" x14ac:dyDescent="0.35">
      <c r="B35" t="s">
        <v>1131</v>
      </c>
    </row>
    <row r="38" spans="2:8" ht="15" thickBot="1" x14ac:dyDescent="0.4">
      <c r="B38" s="236" t="s">
        <v>572</v>
      </c>
      <c r="C38" s="236"/>
      <c r="D38" s="236"/>
      <c r="E38" s="236"/>
      <c r="F38" s="236"/>
      <c r="G38" s="236"/>
      <c r="H38" s="236"/>
    </row>
    <row r="39" spans="2:8" ht="15" thickTop="1" x14ac:dyDescent="0.35">
      <c r="B39" s="95" t="s">
        <v>573</v>
      </c>
      <c r="C39" s="336">
        <f>DCF!E13</f>
        <v>531.33000000000004</v>
      </c>
      <c r="E39" t="s">
        <v>584</v>
      </c>
    </row>
    <row r="40" spans="2:8" x14ac:dyDescent="0.35">
      <c r="B40" s="95" t="s">
        <v>574</v>
      </c>
      <c r="C40" s="328">
        <f>C39*DCF!E54</f>
        <v>3945417.4815000002</v>
      </c>
    </row>
    <row r="41" spans="2:8" x14ac:dyDescent="0.35">
      <c r="B41" s="95" t="s">
        <v>575</v>
      </c>
      <c r="C41" s="328">
        <f>C40-DCF!E52</f>
        <v>3959707.1481666667</v>
      </c>
    </row>
    <row r="42" spans="2:8" x14ac:dyDescent="0.35">
      <c r="B42" s="95" t="s">
        <v>576</v>
      </c>
      <c r="C42" s="328">
        <f>DCF!E44</f>
        <v>912628.53793393052</v>
      </c>
    </row>
    <row r="43" spans="2:8" x14ac:dyDescent="0.35">
      <c r="B43" s="95" t="s">
        <v>577</v>
      </c>
      <c r="C43" s="224">
        <f>C41-C42</f>
        <v>3047078.610232736</v>
      </c>
    </row>
    <row r="44" spans="2:8" x14ac:dyDescent="0.35">
      <c r="B44" s="95" t="s">
        <v>578</v>
      </c>
      <c r="C44" s="328">
        <f>C43*(1+DCF!E6)^(10-0.5*DCF!E10)</f>
        <v>6941640.9946917091</v>
      </c>
    </row>
    <row r="45" spans="2:8" x14ac:dyDescent="0.35">
      <c r="B45" s="95" t="s">
        <v>579</v>
      </c>
      <c r="C45" s="328">
        <f>C44*(DCF!E6-DCF!E7)</f>
        <v>454924.49686513108</v>
      </c>
    </row>
    <row r="46" spans="2:8" x14ac:dyDescent="0.35">
      <c r="B46" s="95" t="s">
        <v>580</v>
      </c>
      <c r="C46" s="328">
        <f>C45/(1-DCF!E7/DCF!E9)</f>
        <v>545909.39623815729</v>
      </c>
    </row>
    <row r="47" spans="2:8" x14ac:dyDescent="0.35">
      <c r="B47" s="95" t="s">
        <v>581</v>
      </c>
      <c r="C47" s="222">
        <f>(C46/(1+DCF!E7))/(1-DCF!E8)/DCF!S37</f>
        <v>0.68004114951194317</v>
      </c>
    </row>
    <row r="48" spans="2:8" x14ac:dyDescent="0.35">
      <c r="B48" s="95" t="s">
        <v>582</v>
      </c>
      <c r="C48" s="222">
        <f>DCF!S38</f>
        <v>0.46780818408927222</v>
      </c>
    </row>
    <row r="49" spans="2:8" x14ac:dyDescent="0.35">
      <c r="B49" s="95" t="s">
        <v>583</v>
      </c>
      <c r="C49" s="287">
        <f>C47-C48</f>
        <v>0.21223296542267095</v>
      </c>
    </row>
    <row r="52" spans="2:8" ht="15" thickBot="1" x14ac:dyDescent="0.4">
      <c r="B52" s="236" t="s">
        <v>585</v>
      </c>
      <c r="C52" s="217"/>
      <c r="D52" s="217"/>
      <c r="E52" s="217"/>
      <c r="F52" s="217"/>
      <c r="G52" s="217"/>
      <c r="H52" s="217"/>
    </row>
    <row r="53" spans="2:8" ht="15" thickTop="1" x14ac:dyDescent="0.35">
      <c r="C53" s="290" t="s">
        <v>586</v>
      </c>
      <c r="D53" s="237">
        <v>0.9</v>
      </c>
      <c r="E53" s="237">
        <v>0.95</v>
      </c>
      <c r="F53" s="237">
        <v>1</v>
      </c>
      <c r="G53" s="237">
        <v>1.05</v>
      </c>
      <c r="H53" s="237">
        <v>1.1000000000000001</v>
      </c>
    </row>
    <row r="54" spans="2:8" x14ac:dyDescent="0.35">
      <c r="B54" s="87"/>
      <c r="C54" s="289">
        <v>-0.02</v>
      </c>
      <c r="D54" s="337" cm="1">
        <f t="array" ref="D54">IFERROR((SUMPRODUCT((DCF!$E$27:$I$27+DCF!$E$18:$I$18*$C54*(1-DCF!$E$8)-ABS('3 statement Model'!$J$174:$N$174)*(D$53-1)),1/(1+DCF!$E$6)^(DCF!$E$17:$I$17-0.5*DCF!$E$10))+SUM(DCF!$O$46:$S$46)+DCF!$E$45+DCF!$E$52)/DCF!$E$54,"")</f>
        <v>407.79499495079608</v>
      </c>
      <c r="E54" s="338" cm="1">
        <f t="array" ref="E54">IFERROR((SUMPRODUCT((DCF!$E$27:$I$27+DCF!$E$18:$I$18*$C54*(1-DCF!$E$8)-ABS('3 statement Model'!$J$174:$N$174)*(E$53-1)),1/(1+DCF!$E$6)^(DCF!$E$17:$I$17-0.5*DCF!$E$10))+SUM(DCF!$O$46:$S$46)+DCF!$E$45+DCF!$E$52)/DCF!$E$54,"")</f>
        <v>403.22257800388797</v>
      </c>
      <c r="F54" s="338" cm="1">
        <f t="array" ref="F54">IFERROR((SUMPRODUCT((DCF!$E$27:$I$27+DCF!$E$18:$I$18*$C54*(1-DCF!$E$8)-ABS('3 statement Model'!$J$174:$N$174)*(F$53-1)),1/(1+DCF!$E$6)^(DCF!$E$17:$I$17-0.5*DCF!$E$10))+SUM(DCF!$O$46:$S$46)+DCF!$E$45+DCF!$E$52)/DCF!$E$54,"")</f>
        <v>398.65016105697981</v>
      </c>
      <c r="G54" s="338" cm="1">
        <f t="array" ref="G54">IFERROR((SUMPRODUCT((DCF!$E$27:$I$27+DCF!$E$18:$I$18*$C54*(1-DCF!$E$8)-ABS('3 statement Model'!$J$174:$N$174)*(G$53-1)),1/(1+DCF!$E$6)^(DCF!$E$17:$I$17-0.5*DCF!$E$10))+SUM(DCF!$O$46:$S$46)+DCF!$E$45+DCF!$E$52)/DCF!$E$54,"")</f>
        <v>394.07774411007165</v>
      </c>
      <c r="H54" s="339" cm="1">
        <f t="array" ref="H54">IFERROR((SUMPRODUCT((DCF!$E$27:$I$27+DCF!$E$18:$I$18*$C54*(1-DCF!$E$8)-ABS('3 statement Model'!$J$174:$N$174)*(H$53-1)),1/(1+DCF!$E$6)^(DCF!$E$17:$I$17-0.5*DCF!$E$10))+SUM(DCF!$O$46:$S$46)+DCF!$E$45+DCF!$E$52)/DCF!$E$54,"")</f>
        <v>389.50532716316349</v>
      </c>
    </row>
    <row r="55" spans="2:8" x14ac:dyDescent="0.35">
      <c r="B55" s="87"/>
      <c r="C55" s="289">
        <v>-0.01</v>
      </c>
      <c r="D55" s="340" cm="1">
        <f t="array" ref="D55">IFERROR((SUMPRODUCT((DCF!$E$27:$I$27+DCF!$E$18:$I$18*$C55*(1-DCF!$E$8)-ABS('3 statement Model'!$J$174:$N$174)*(D$53-1)),1/(1+DCF!$E$6)^(DCF!$E$17:$I$17-0.5*DCF!$E$10))+SUM(DCF!$O$46:$S$46)+DCF!$E$45+DCF!$E$52)/DCF!$E$54,"")</f>
        <v>410.10208600925381</v>
      </c>
      <c r="E55" s="341" cm="1">
        <f t="array" ref="E55">IFERROR((SUMPRODUCT((DCF!$E$27:$I$27+DCF!$E$18:$I$18*$C55*(1-DCF!$E$8)-ABS('3 statement Model'!$J$174:$N$174)*(E$53-1)),1/(1+DCF!$E$6)^(DCF!$E$17:$I$17-0.5*DCF!$E$10))+SUM(DCF!$O$46:$S$46)+DCF!$E$45+DCF!$E$52)/DCF!$E$54,"")</f>
        <v>405.52966906234565</v>
      </c>
      <c r="F55" s="341" cm="1">
        <f t="array" ref="F55">IFERROR((SUMPRODUCT((DCF!$E$27:$I$27+DCF!$E$18:$I$18*$C55*(1-DCF!$E$8)-ABS('3 statement Model'!$J$174:$N$174)*(F$53-1)),1/(1+DCF!$E$6)^(DCF!$E$17:$I$17-0.5*DCF!$E$10))+SUM(DCF!$O$46:$S$46)+DCF!$E$45+DCF!$E$52)/DCF!$E$54,"")</f>
        <v>400.95725211543748</v>
      </c>
      <c r="G55" s="341" cm="1">
        <f t="array" ref="G55">IFERROR((SUMPRODUCT((DCF!$E$27:$I$27+DCF!$E$18:$I$18*$C55*(1-DCF!$E$8)-ABS('3 statement Model'!$J$174:$N$174)*(G$53-1)),1/(1+DCF!$E$6)^(DCF!$E$17:$I$17-0.5*DCF!$E$10))+SUM(DCF!$O$46:$S$46)+DCF!$E$45+DCF!$E$52)/DCF!$E$54,"")</f>
        <v>396.38483516852932</v>
      </c>
      <c r="H55" s="342" cm="1">
        <f t="array" ref="H55">IFERROR((SUMPRODUCT((DCF!$E$27:$I$27+DCF!$E$18:$I$18*$C55*(1-DCF!$E$8)-ABS('3 statement Model'!$J$174:$N$174)*(H$53-1)),1/(1+DCF!$E$6)^(DCF!$E$17:$I$17-0.5*DCF!$E$10))+SUM(DCF!$O$46:$S$46)+DCF!$E$45+DCF!$E$52)/DCF!$E$54,"")</f>
        <v>391.81241822162116</v>
      </c>
    </row>
    <row r="56" spans="2:8" x14ac:dyDescent="0.35">
      <c r="B56" s="87"/>
      <c r="C56" s="289">
        <v>0</v>
      </c>
      <c r="D56" s="340" cm="1">
        <f t="array" ref="D56">IFERROR((SUMPRODUCT((DCF!$E$27:$I$27+DCF!$E$18:$I$18*$C56*(1-DCF!$E$8)-ABS('3 statement Model'!$J$174:$N$174)*(D$53-1)),1/(1+DCF!$E$6)^(DCF!$E$17:$I$17-0.5*DCF!$E$10))+SUM(DCF!$O$46:$S$46)+DCF!$E$45+DCF!$E$52)/DCF!$E$54,"")</f>
        <v>412.4091770677116</v>
      </c>
      <c r="E56" s="341" cm="1">
        <f t="array" ref="E56">IFERROR((SUMPRODUCT((DCF!$E$27:$I$27+DCF!$E$18:$I$18*$C56*(1-DCF!$E$8)-ABS('3 statement Model'!$J$174:$N$174)*(E$53-1)),1/(1+DCF!$E$6)^(DCF!$E$17:$I$17-0.5*DCF!$E$10))+SUM(DCF!$O$46:$S$46)+DCF!$E$45+DCF!$E$52)/DCF!$E$54,"")</f>
        <v>407.83676012080343</v>
      </c>
      <c r="F56" s="341" cm="1">
        <f t="array" ref="F56">IFERROR((SUMPRODUCT((DCF!$E$27:$I$27+DCF!$E$18:$I$18*$C56*(1-DCF!$E$8)-ABS('3 statement Model'!$J$174:$N$174)*(F$53-1)),1/(1+DCF!$E$6)^(DCF!$E$17:$I$17-0.5*DCF!$E$10))+SUM(DCF!$O$46:$S$46)+DCF!$E$45+DCF!$E$52)/DCF!$E$54,"")</f>
        <v>403.26434317389527</v>
      </c>
      <c r="G56" s="341" cm="1">
        <f t="array" ref="G56">IFERROR((SUMPRODUCT((DCF!$E$27:$I$27+DCF!$E$18:$I$18*$C56*(1-DCF!$E$8)-ABS('3 statement Model'!$J$174:$N$174)*(G$53-1)),1/(1+DCF!$E$6)^(DCF!$E$17:$I$17-0.5*DCF!$E$10))+SUM(DCF!$O$46:$S$46)+DCF!$E$45+DCF!$E$52)/DCF!$E$54,"")</f>
        <v>398.69192622698711</v>
      </c>
      <c r="H56" s="342" cm="1">
        <f t="array" ref="H56">IFERROR((SUMPRODUCT((DCF!$E$27:$I$27+DCF!$E$18:$I$18*$C56*(1-DCF!$E$8)-ABS('3 statement Model'!$J$174:$N$174)*(H$53-1)),1/(1+DCF!$E$6)^(DCF!$E$17:$I$17-0.5*DCF!$E$10))+SUM(DCF!$O$46:$S$46)+DCF!$E$45+DCF!$E$52)/DCF!$E$54,"")</f>
        <v>394.11950928007894</v>
      </c>
    </row>
    <row r="57" spans="2:8" x14ac:dyDescent="0.35">
      <c r="B57" s="87"/>
      <c r="C57" s="289">
        <v>0.01</v>
      </c>
      <c r="D57" s="340" cm="1">
        <f t="array" ref="D57">IFERROR((SUMPRODUCT((DCF!$E$27:$I$27+DCF!$E$18:$I$18*$C57*(1-DCF!$E$8)-ABS('3 statement Model'!$J$174:$N$174)*(D$53-1)),1/(1+DCF!$E$6)^(DCF!$E$17:$I$17-0.5*DCF!$E$10))+SUM(DCF!$O$46:$S$46)+DCF!$E$45+DCF!$E$52)/DCF!$E$54,"")</f>
        <v>414.71626812616933</v>
      </c>
      <c r="E57" s="341" cm="1">
        <f t="array" ref="E57">IFERROR((SUMPRODUCT((DCF!$E$27:$I$27+DCF!$E$18:$I$18*$C57*(1-DCF!$E$8)-ABS('3 statement Model'!$J$174:$N$174)*(E$53-1)),1/(1+DCF!$E$6)^(DCF!$E$17:$I$17-0.5*DCF!$E$10))+SUM(DCF!$O$46:$S$46)+DCF!$E$45+DCF!$E$52)/DCF!$E$54,"")</f>
        <v>410.14385117926122</v>
      </c>
      <c r="F57" s="341" cm="1">
        <f t="array" ref="F57">IFERROR((SUMPRODUCT((DCF!$E$27:$I$27+DCF!$E$18:$I$18*$C57*(1-DCF!$E$8)-ABS('3 statement Model'!$J$174:$N$174)*(F$53-1)),1/(1+DCF!$E$6)^(DCF!$E$17:$I$17-0.5*DCF!$E$10))+SUM(DCF!$O$46:$S$46)+DCF!$E$45+DCF!$E$52)/DCF!$E$54,"")</f>
        <v>405.57143423235306</v>
      </c>
      <c r="G57" s="341" cm="1">
        <f t="array" ref="G57">IFERROR((SUMPRODUCT((DCF!$E$27:$I$27+DCF!$E$18:$I$18*$C57*(1-DCF!$E$8)-ABS('3 statement Model'!$J$174:$N$174)*(G$53-1)),1/(1+DCF!$E$6)^(DCF!$E$17:$I$17-0.5*DCF!$E$10))+SUM(DCF!$O$46:$S$46)+DCF!$E$45+DCF!$E$52)/DCF!$E$54,"")</f>
        <v>400.99901728544489</v>
      </c>
      <c r="H57" s="342" cm="1">
        <f t="array" ref="H57">IFERROR((SUMPRODUCT((DCF!$E$27:$I$27+DCF!$E$18:$I$18*$C57*(1-DCF!$E$8)-ABS('3 statement Model'!$J$174:$N$174)*(H$53-1)),1/(1+DCF!$E$6)^(DCF!$E$17:$I$17-0.5*DCF!$E$10))+SUM(DCF!$O$46:$S$46)+DCF!$E$45+DCF!$E$52)/DCF!$E$54,"")</f>
        <v>396.42660033853667</v>
      </c>
    </row>
    <row r="58" spans="2:8" x14ac:dyDescent="0.35">
      <c r="B58" s="87"/>
      <c r="C58" s="289">
        <v>0.02</v>
      </c>
      <c r="D58" s="343" cm="1">
        <f t="array" ref="D58">IFERROR((SUMPRODUCT((DCF!$E$27:$I$27+DCF!$E$18:$I$18*$C58*(1-DCF!$E$8)-ABS('3 statement Model'!$J$174:$N$174)*(D$53-1)),1/(1+DCF!$E$6)^(DCF!$E$17:$I$17-0.5*DCF!$E$10))+SUM(DCF!$O$46:$S$46)+DCF!$E$45+DCF!$E$52)/DCF!$E$54,"")</f>
        <v>417.02335918462705</v>
      </c>
      <c r="E58" s="344" cm="1">
        <f t="array" ref="E58">IFERROR((SUMPRODUCT((DCF!$E$27:$I$27+DCF!$E$18:$I$18*$C58*(1-DCF!$E$8)-ABS('3 statement Model'!$J$174:$N$174)*(E$53-1)),1/(1+DCF!$E$6)^(DCF!$E$17:$I$17-0.5*DCF!$E$10))+SUM(DCF!$O$46:$S$46)+DCF!$E$45+DCF!$E$52)/DCF!$E$54,"")</f>
        <v>412.45094223771889</v>
      </c>
      <c r="F58" s="344" cm="1">
        <f t="array" ref="F58">IFERROR((SUMPRODUCT((DCF!$E$27:$I$27+DCF!$E$18:$I$18*$C58*(1-DCF!$E$8)-ABS('3 statement Model'!$J$174:$N$174)*(F$53-1)),1/(1+DCF!$E$6)^(DCF!$E$17:$I$17-0.5*DCF!$E$10))+SUM(DCF!$O$46:$S$46)+DCF!$E$45+DCF!$E$52)/DCF!$E$54,"")</f>
        <v>407.87852529081073</v>
      </c>
      <c r="G58" s="344" cm="1">
        <f t="array" ref="G58">IFERROR((SUMPRODUCT((DCF!$E$27:$I$27+DCF!$E$18:$I$18*$C58*(1-DCF!$E$8)-ABS('3 statement Model'!$J$174:$N$174)*(G$53-1)),1/(1+DCF!$E$6)^(DCF!$E$17:$I$17-0.5*DCF!$E$10))+SUM(DCF!$O$46:$S$46)+DCF!$E$45+DCF!$E$52)/DCF!$E$54,"")</f>
        <v>403.30610834390257</v>
      </c>
      <c r="H58" s="345" cm="1">
        <f t="array" ref="H58">IFERROR((SUMPRODUCT((DCF!$E$27:$I$27+DCF!$E$18:$I$18*$C58*(1-DCF!$E$8)-ABS('3 statement Model'!$J$174:$N$174)*(H$53-1)),1/(1+DCF!$E$6)^(DCF!$E$17:$I$17-0.5*DCF!$E$10))+SUM(DCF!$O$46:$S$46)+DCF!$E$45+DCF!$E$52)/DCF!$E$54,"")</f>
        <v>398.7336913969944</v>
      </c>
    </row>
    <row r="60" spans="2:8" x14ac:dyDescent="0.35">
      <c r="B60" t="s">
        <v>587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294B4-1ACD-43BB-BA8C-D1B948606131}">
  <sheetPr>
    <pageSetUpPr fitToPage="1"/>
  </sheetPr>
  <dimension ref="A1:T107"/>
  <sheetViews>
    <sheetView showGridLines="0" zoomScale="39" zoomScaleNormal="39" workbookViewId="0">
      <pane xSplit="1" ySplit="5" topLeftCell="B6" activePane="bottomRight" state="frozen"/>
      <selection pane="topRight" activeCell="B1" sqref="B1"/>
      <selection pane="bottomLeft" activeCell="A6" sqref="A6"/>
      <selection pane="bottomRight" activeCell="A13" sqref="A13"/>
    </sheetView>
  </sheetViews>
  <sheetFormatPr defaultRowHeight="14.5" x14ac:dyDescent="0.35"/>
  <cols>
    <col min="1" max="1" width="26.36328125" customWidth="1"/>
    <col min="2" max="2" width="38.1796875" customWidth="1"/>
    <col min="3" max="4" width="18.1796875" customWidth="1"/>
    <col min="5" max="6" width="40" customWidth="1"/>
    <col min="7" max="7" width="27.26953125" customWidth="1"/>
    <col min="8" max="8" width="40" customWidth="1"/>
    <col min="9" max="18" width="15.26953125" customWidth="1"/>
    <col min="19" max="19" width="34.54296875" customWidth="1"/>
    <col min="20" max="20" width="38.1796875" customWidth="1"/>
  </cols>
  <sheetData>
    <row r="1" spans="1:20" ht="19" x14ac:dyDescent="0.35">
      <c r="A1" s="376" t="s">
        <v>817</v>
      </c>
      <c r="B1" s="376"/>
      <c r="C1" s="376"/>
      <c r="D1" s="376"/>
      <c r="E1" s="376"/>
      <c r="F1" s="376"/>
      <c r="G1" s="376"/>
      <c r="H1" s="376"/>
      <c r="I1" s="376"/>
      <c r="J1" s="376"/>
      <c r="K1" s="376"/>
      <c r="L1" s="376"/>
      <c r="M1" s="376"/>
      <c r="N1" s="376"/>
      <c r="O1" s="376"/>
      <c r="P1" s="376"/>
      <c r="Q1" s="376"/>
      <c r="R1" s="376"/>
      <c r="S1" s="376"/>
      <c r="T1" s="377"/>
    </row>
    <row r="2" spans="1:20" x14ac:dyDescent="0.35">
      <c r="A2" s="378" t="s">
        <v>625</v>
      </c>
      <c r="B2" s="378"/>
      <c r="C2" s="378"/>
      <c r="D2" s="378"/>
      <c r="E2" s="378"/>
      <c r="F2" s="378"/>
      <c r="G2" s="378"/>
      <c r="H2" s="378"/>
      <c r="I2" s="378"/>
      <c r="J2" s="378"/>
      <c r="K2" s="378"/>
      <c r="L2" s="378"/>
      <c r="M2" s="378"/>
      <c r="N2" s="378"/>
      <c r="O2" s="378"/>
      <c r="P2" s="378"/>
      <c r="Q2" s="378"/>
      <c r="R2" s="378"/>
      <c r="S2" s="378"/>
      <c r="T2" s="378"/>
    </row>
    <row r="3" spans="1:20" x14ac:dyDescent="0.35">
      <c r="A3" s="239"/>
      <c r="B3" s="239"/>
      <c r="C3" s="239"/>
      <c r="D3" s="239"/>
      <c r="E3" s="239"/>
      <c r="F3" s="239"/>
      <c r="G3" s="239"/>
      <c r="H3" s="239"/>
      <c r="I3" s="239"/>
      <c r="J3" s="239"/>
      <c r="K3" s="239"/>
      <c r="L3" s="239"/>
      <c r="M3" s="239"/>
      <c r="N3" s="239"/>
      <c r="O3" s="239"/>
      <c r="P3" s="239"/>
      <c r="Q3" s="239"/>
      <c r="R3" s="239"/>
      <c r="S3" s="239"/>
      <c r="T3" s="239"/>
    </row>
    <row r="4" spans="1:20" ht="26" x14ac:dyDescent="0.35">
      <c r="A4" s="240" t="s">
        <v>605</v>
      </c>
      <c r="B4" s="240" t="s">
        <v>606</v>
      </c>
      <c r="C4" s="240" t="s">
        <v>626</v>
      </c>
      <c r="D4" s="240" t="s">
        <v>627</v>
      </c>
      <c r="E4" s="240" t="s">
        <v>628</v>
      </c>
      <c r="F4" s="240" t="s">
        <v>452</v>
      </c>
      <c r="G4" s="240" t="s">
        <v>435</v>
      </c>
      <c r="H4" s="240" t="s">
        <v>556</v>
      </c>
      <c r="I4" s="240" t="s">
        <v>629</v>
      </c>
      <c r="J4" s="240" t="s">
        <v>16</v>
      </c>
      <c r="K4" s="240" t="s">
        <v>25</v>
      </c>
      <c r="L4" s="240" t="s">
        <v>630</v>
      </c>
      <c r="M4" s="240" t="s">
        <v>631</v>
      </c>
      <c r="N4" s="240" t="s">
        <v>145</v>
      </c>
      <c r="O4" s="240" t="s">
        <v>632</v>
      </c>
      <c r="P4" s="240" t="s">
        <v>607</v>
      </c>
      <c r="Q4" s="240" t="s">
        <v>633</v>
      </c>
      <c r="R4" s="240" t="s">
        <v>634</v>
      </c>
      <c r="S4" s="240" t="s">
        <v>635</v>
      </c>
      <c r="T4" s="240" t="s">
        <v>636</v>
      </c>
    </row>
    <row r="5" spans="1:20" x14ac:dyDescent="0.35">
      <c r="A5" s="239" t="s">
        <v>608</v>
      </c>
      <c r="B5" s="239" t="s">
        <v>189</v>
      </c>
      <c r="C5" s="239" t="s">
        <v>520</v>
      </c>
      <c r="D5" s="346">
        <f>WACC!I12</f>
        <v>3945417.4815000002</v>
      </c>
      <c r="E5" s="250">
        <v>30045</v>
      </c>
      <c r="F5" s="252">
        <f>D5+E5</f>
        <v>3975462.4815000002</v>
      </c>
      <c r="G5" s="250">
        <v>331839</v>
      </c>
      <c r="H5" s="250">
        <v>155237</v>
      </c>
      <c r="I5" s="250">
        <v>38534</v>
      </c>
      <c r="J5" s="252">
        <f>H5+I5</f>
        <v>193771</v>
      </c>
      <c r="K5" s="250">
        <v>133749</v>
      </c>
      <c r="L5" s="250">
        <v>182935</v>
      </c>
      <c r="M5" s="250">
        <v>115948</v>
      </c>
      <c r="N5" s="252">
        <f>L5-M5</f>
        <v>66987</v>
      </c>
      <c r="O5" s="253">
        <f>IFERROR(F5/J5,"")</f>
        <v>20.51629233218593</v>
      </c>
      <c r="P5" s="253">
        <f>IFERROR(D5/K5,"")</f>
        <v>29.498669010609426</v>
      </c>
      <c r="Q5" s="253">
        <f>IF(N5&gt;0,F5/N5,"")</f>
        <v>59.346775963993018</v>
      </c>
      <c r="R5" s="254">
        <f>IF(N5&gt;0,N5/D5,"")</f>
        <v>1.6978431386311076E-2</v>
      </c>
      <c r="S5" s="239" t="s">
        <v>637</v>
      </c>
      <c r="T5" s="239" t="s">
        <v>638</v>
      </c>
    </row>
    <row r="6" spans="1:20" x14ac:dyDescent="0.35">
      <c r="A6" s="239" t="s">
        <v>609</v>
      </c>
      <c r="B6" s="239" t="s">
        <v>610</v>
      </c>
      <c r="C6" s="239" t="s">
        <v>639</v>
      </c>
      <c r="D6" s="250">
        <v>3921000</v>
      </c>
      <c r="E6" s="250">
        <v>15840</v>
      </c>
      <c r="F6" s="252">
        <f>D6+E6</f>
        <v>3936840</v>
      </c>
      <c r="G6" s="250">
        <v>402836</v>
      </c>
      <c r="H6" s="250">
        <v>129039</v>
      </c>
      <c r="I6" s="250">
        <v>21136</v>
      </c>
      <c r="J6" s="252">
        <f>H6+I6</f>
        <v>150175</v>
      </c>
      <c r="K6" s="250">
        <v>132170</v>
      </c>
      <c r="L6" s="250">
        <v>164713</v>
      </c>
      <c r="M6" s="250">
        <v>91447</v>
      </c>
      <c r="N6" s="252">
        <f>L6-M6</f>
        <v>73266</v>
      </c>
      <c r="O6" s="253">
        <f>IFERROR(F6/J6,"")</f>
        <v>26.215015814882637</v>
      </c>
      <c r="P6" s="253">
        <f>IFERROR(D6/K6,"")</f>
        <v>29.666338806083075</v>
      </c>
      <c r="Q6" s="253">
        <f>IF(N6&gt;0,F6/N6,"")</f>
        <v>53.733518958316274</v>
      </c>
      <c r="R6" s="254">
        <f>IF(N6&gt;0,N6/D6,"")</f>
        <v>1.8685539403213467E-2</v>
      </c>
      <c r="S6" s="239" t="s">
        <v>640</v>
      </c>
      <c r="T6" s="239" t="s">
        <v>849</v>
      </c>
    </row>
    <row r="7" spans="1:20" x14ac:dyDescent="0.35">
      <c r="A7" s="239" t="s">
        <v>611</v>
      </c>
      <c r="B7" s="239" t="s">
        <v>612</v>
      </c>
      <c r="C7" s="239" t="s">
        <v>639</v>
      </c>
      <c r="D7" s="250">
        <v>2730000</v>
      </c>
      <c r="E7" s="250">
        <v>55518</v>
      </c>
      <c r="F7" s="252">
        <f>D7+E7</f>
        <v>2785518</v>
      </c>
      <c r="G7" s="250">
        <v>716924</v>
      </c>
      <c r="H7" s="250">
        <v>79970</v>
      </c>
      <c r="I7" s="250">
        <v>65756</v>
      </c>
      <c r="J7" s="252">
        <f>H7+I7</f>
        <v>145726</v>
      </c>
      <c r="K7" s="250">
        <v>77670</v>
      </c>
      <c r="L7" s="250">
        <v>139500</v>
      </c>
      <c r="M7" s="250">
        <v>128300</v>
      </c>
      <c r="N7" s="252">
        <f>L7-M7</f>
        <v>11200</v>
      </c>
      <c r="O7" s="253">
        <f>IFERROR(F7/J7,"")</f>
        <v>19.114763322948548</v>
      </c>
      <c r="P7" s="253">
        <f>IFERROR(D7/K7,"")</f>
        <v>35.14870606411742</v>
      </c>
      <c r="Q7" s="253">
        <f>IF(N7&gt;0,F7/N7,"")</f>
        <v>248.70696428571429</v>
      </c>
      <c r="R7" s="254">
        <f>IF(N7&gt;0,N7/D7,"")</f>
        <v>4.1025641025641026E-3</v>
      </c>
      <c r="S7" s="239" t="s">
        <v>641</v>
      </c>
      <c r="T7" s="239" t="s">
        <v>850</v>
      </c>
    </row>
    <row r="8" spans="1:20" x14ac:dyDescent="0.35">
      <c r="A8" s="239" t="s">
        <v>613</v>
      </c>
      <c r="B8" s="239" t="s">
        <v>614</v>
      </c>
      <c r="C8" s="239" t="s">
        <v>520</v>
      </c>
      <c r="D8" s="250">
        <v>394690</v>
      </c>
      <c r="E8" s="250">
        <v>98211</v>
      </c>
      <c r="F8" s="252">
        <f>D8+E8</f>
        <v>492901</v>
      </c>
      <c r="G8" s="250">
        <v>67357</v>
      </c>
      <c r="H8" s="250">
        <v>20610</v>
      </c>
      <c r="I8" s="250">
        <v>9294</v>
      </c>
      <c r="J8" s="252">
        <f>H8+I8</f>
        <v>29904</v>
      </c>
      <c r="K8" s="250">
        <v>17087</v>
      </c>
      <c r="L8" s="250">
        <v>32000</v>
      </c>
      <c r="M8" s="250">
        <v>55700</v>
      </c>
      <c r="N8" s="252">
        <f>L8-M8</f>
        <v>-23700</v>
      </c>
      <c r="O8" s="253">
        <f>IFERROR(F8/J8,"")</f>
        <v>16.48277822364901</v>
      </c>
      <c r="P8" s="253">
        <f t="shared" ref="P8:P9" si="0">IFERROR(D8/K8,"")</f>
        <v>23.098847076724997</v>
      </c>
      <c r="Q8" s="38" t="str">
        <f>IF(N8&gt;0,F8/N8,"")</f>
        <v/>
      </c>
      <c r="R8" s="242" t="str">
        <f>IF(N8&gt;0,N8/D8,"")</f>
        <v/>
      </c>
      <c r="S8" s="239" t="s">
        <v>642</v>
      </c>
      <c r="T8" s="239" t="s">
        <v>851</v>
      </c>
    </row>
    <row r="9" spans="1:20" x14ac:dyDescent="0.35">
      <c r="A9" s="239" t="s">
        <v>615</v>
      </c>
      <c r="B9" s="239" t="s">
        <v>616</v>
      </c>
      <c r="C9" s="239" t="s">
        <v>520</v>
      </c>
      <c r="D9" s="250">
        <v>198250</v>
      </c>
      <c r="E9" s="250">
        <v>8146</v>
      </c>
      <c r="F9" s="252">
        <f>D9+E9</f>
        <v>206396</v>
      </c>
      <c r="G9" s="250">
        <v>41525</v>
      </c>
      <c r="H9" s="250">
        <v>8330</v>
      </c>
      <c r="I9" s="250">
        <v>5828</v>
      </c>
      <c r="J9" s="252">
        <f>H9+I9</f>
        <v>14158</v>
      </c>
      <c r="K9" s="250">
        <v>7457</v>
      </c>
      <c r="L9" s="250">
        <v>15000</v>
      </c>
      <c r="M9" s="250">
        <v>600</v>
      </c>
      <c r="N9" s="252">
        <f>L9-M9</f>
        <v>14400</v>
      </c>
      <c r="O9" s="253">
        <f>IFERROR(F9/J9,"")</f>
        <v>14.578047746856901</v>
      </c>
      <c r="P9" s="253">
        <f t="shared" si="0"/>
        <v>26.58575834786107</v>
      </c>
      <c r="Q9" s="253">
        <f>IF(N9&gt;0,F9/N9,"")</f>
        <v>14.333055555555555</v>
      </c>
      <c r="R9" s="254">
        <f>IF(N9&gt;0,N9/D9,"")</f>
        <v>7.2635561160151324E-2</v>
      </c>
      <c r="S9" s="239" t="s">
        <v>643</v>
      </c>
      <c r="T9" s="239" t="s">
        <v>852</v>
      </c>
    </row>
    <row r="10" spans="1:20" x14ac:dyDescent="0.35">
      <c r="A10" s="239"/>
      <c r="B10" s="239"/>
      <c r="C10" s="239"/>
      <c r="D10" s="243"/>
      <c r="E10" s="243"/>
      <c r="F10" s="243"/>
      <c r="G10" s="243"/>
      <c r="H10" s="243"/>
      <c r="I10" s="243"/>
      <c r="J10" s="243"/>
      <c r="K10" s="243"/>
      <c r="L10" s="243"/>
      <c r="M10" s="243"/>
      <c r="N10" s="243"/>
      <c r="O10" s="38"/>
      <c r="P10" s="38"/>
      <c r="Q10" s="38"/>
      <c r="R10" s="242"/>
      <c r="S10" s="239"/>
      <c r="T10" s="239"/>
    </row>
    <row r="11" spans="1:20" x14ac:dyDescent="0.35">
      <c r="A11" s="239"/>
      <c r="B11" s="239"/>
      <c r="C11" s="239"/>
      <c r="D11" s="243"/>
      <c r="E11" s="243"/>
      <c r="F11" s="243"/>
      <c r="G11" s="243"/>
      <c r="H11" s="243"/>
      <c r="I11" s="243"/>
      <c r="J11" s="243"/>
      <c r="K11" s="243"/>
      <c r="L11" s="243"/>
      <c r="M11" s="243"/>
      <c r="N11" s="243"/>
      <c r="O11" s="38"/>
      <c r="P11" s="38"/>
      <c r="Q11" s="38"/>
      <c r="R11" s="242"/>
      <c r="S11" s="239"/>
      <c r="T11" s="239"/>
    </row>
    <row r="12" spans="1:20" x14ac:dyDescent="0.35">
      <c r="A12" s="244" t="s">
        <v>644</v>
      </c>
      <c r="B12" s="244"/>
      <c r="C12" s="244"/>
      <c r="D12" s="245"/>
      <c r="E12" s="245"/>
      <c r="F12" s="245"/>
      <c r="G12" s="245"/>
      <c r="H12" s="245"/>
      <c r="I12" s="245"/>
      <c r="J12" s="245"/>
      <c r="K12" s="245"/>
      <c r="L12" s="245"/>
      <c r="M12" s="245"/>
      <c r="N12" s="245"/>
      <c r="O12" s="255">
        <f>MAX(O$6:O$9)</f>
        <v>26.215015814882637</v>
      </c>
      <c r="P12" s="255">
        <f>MAX(P6:P9)</f>
        <v>35.14870606411742</v>
      </c>
      <c r="Q12" s="255">
        <f>MAX(Q$6:Q$9)</f>
        <v>248.70696428571429</v>
      </c>
      <c r="R12" s="256">
        <f>MAX(R$6:R$9)</f>
        <v>7.2635561160151324E-2</v>
      </c>
      <c r="S12" s="239"/>
      <c r="T12" s="239"/>
    </row>
    <row r="13" spans="1:20" x14ac:dyDescent="0.35">
      <c r="A13" s="244" t="s">
        <v>645</v>
      </c>
      <c r="B13" s="244"/>
      <c r="C13" s="244"/>
      <c r="D13" s="245"/>
      <c r="E13" s="245"/>
      <c r="F13" s="245"/>
      <c r="G13" s="245"/>
      <c r="H13" s="245"/>
      <c r="I13" s="245"/>
      <c r="J13" s="245"/>
      <c r="K13" s="245"/>
      <c r="L13" s="245"/>
      <c r="M13" s="245"/>
      <c r="N13" s="245"/>
      <c r="O13" s="255">
        <f>_xlfn.QUARTILE.INC(O$6:O$9,3)</f>
        <v>20.889826445932069</v>
      </c>
      <c r="P13" s="255">
        <f>_xlfn.QUARTILE.INC(P6:P9,3)</f>
        <v>31.036930620591662</v>
      </c>
      <c r="Q13" s="255">
        <f>_xlfn.QUARTILE.INC(Q$6:Q$9,3)</f>
        <v>151.22024162201529</v>
      </c>
      <c r="R13" s="256">
        <f>_xlfn.QUARTILE.INC(R$6:R$9,3)</f>
        <v>4.5660550281682394E-2</v>
      </c>
      <c r="S13" s="239"/>
      <c r="T13" s="239"/>
    </row>
    <row r="14" spans="1:20" x14ac:dyDescent="0.35">
      <c r="A14" s="244" t="s">
        <v>617</v>
      </c>
      <c r="B14" s="244"/>
      <c r="C14" s="244"/>
      <c r="D14" s="245"/>
      <c r="E14" s="245"/>
      <c r="F14" s="245"/>
      <c r="G14" s="245"/>
      <c r="H14" s="245"/>
      <c r="I14" s="245"/>
      <c r="J14" s="245"/>
      <c r="K14" s="245"/>
      <c r="L14" s="245"/>
      <c r="M14" s="245"/>
      <c r="N14" s="245"/>
      <c r="O14" s="255">
        <f>MEDIAN(O$6:O$9)</f>
        <v>17.798770773298777</v>
      </c>
      <c r="P14" s="255">
        <f>MEDIAN(P6:P9)</f>
        <v>28.126048576972074</v>
      </c>
      <c r="Q14" s="255">
        <f>MEDIAN(Q$6:Q$9)</f>
        <v>53.733518958316274</v>
      </c>
      <c r="R14" s="256">
        <f>MEDIAN(R$6:R$9)</f>
        <v>1.8685539403213467E-2</v>
      </c>
      <c r="S14" s="239"/>
      <c r="T14" s="239"/>
    </row>
    <row r="15" spans="1:20" x14ac:dyDescent="0.35">
      <c r="A15" s="244" t="s">
        <v>646</v>
      </c>
      <c r="B15" s="244"/>
      <c r="C15" s="244"/>
      <c r="D15" s="245"/>
      <c r="E15" s="245"/>
      <c r="F15" s="245"/>
      <c r="G15" s="245"/>
      <c r="H15" s="245"/>
      <c r="I15" s="245"/>
      <c r="J15" s="245"/>
      <c r="K15" s="245"/>
      <c r="L15" s="245"/>
      <c r="M15" s="245"/>
      <c r="N15" s="245"/>
      <c r="O15" s="255">
        <f>_xlfn.QUARTILE.INC(O$6:O$9,1)</f>
        <v>16.006595604450983</v>
      </c>
      <c r="P15" s="255">
        <f>_xlfn.QUARTILE.INC(P6:P9,1)</f>
        <v>25.714030530077054</v>
      </c>
      <c r="Q15" s="255">
        <f>_xlfn.QUARTILE.INC(Q$6:Q$9,1)</f>
        <v>34.033287256935914</v>
      </c>
      <c r="R15" s="256">
        <f>_xlfn.QUARTILE.INC(R$6:R$9,1)</f>
        <v>1.1394051752888785E-2</v>
      </c>
      <c r="S15" s="239"/>
      <c r="T15" s="239"/>
    </row>
    <row r="16" spans="1:20" x14ac:dyDescent="0.35">
      <c r="A16" s="244" t="s">
        <v>647</v>
      </c>
      <c r="B16" s="244"/>
      <c r="C16" s="244"/>
      <c r="D16" s="245"/>
      <c r="E16" s="245"/>
      <c r="F16" s="245"/>
      <c r="G16" s="245"/>
      <c r="H16" s="245"/>
      <c r="I16" s="245"/>
      <c r="J16" s="245"/>
      <c r="K16" s="245"/>
      <c r="L16" s="245"/>
      <c r="M16" s="245"/>
      <c r="N16" s="245"/>
      <c r="O16" s="255">
        <f>MIN(O$6:O$9)</f>
        <v>14.578047746856901</v>
      </c>
      <c r="P16" s="255">
        <f>MIN(P6:P9)</f>
        <v>23.098847076724997</v>
      </c>
      <c r="Q16" s="255">
        <f>MIN(Q$6:Q$9)</f>
        <v>14.333055555555555</v>
      </c>
      <c r="R16" s="256">
        <f>MIN(R$6:R$9)</f>
        <v>4.1025641025641026E-3</v>
      </c>
      <c r="S16" s="239"/>
      <c r="T16" s="239"/>
    </row>
    <row r="17" spans="1:20" x14ac:dyDescent="0.35">
      <c r="A17" s="239"/>
      <c r="B17" s="239"/>
      <c r="C17" s="239"/>
      <c r="D17" s="243"/>
      <c r="E17" s="243"/>
      <c r="F17" s="243"/>
      <c r="G17" s="243"/>
      <c r="H17" s="243"/>
      <c r="I17" s="243"/>
      <c r="J17" s="243"/>
      <c r="K17" s="243"/>
      <c r="L17" s="243"/>
      <c r="M17" s="243"/>
      <c r="N17" s="243"/>
      <c r="O17" s="243"/>
      <c r="P17" s="243"/>
      <c r="Q17" s="243"/>
      <c r="R17" s="243"/>
      <c r="S17" s="239"/>
      <c r="T17" s="239"/>
    </row>
    <row r="18" spans="1:20" x14ac:dyDescent="0.35">
      <c r="A18" s="239"/>
      <c r="B18" s="239"/>
      <c r="C18" s="239"/>
      <c r="D18" s="243"/>
      <c r="E18" s="243"/>
      <c r="F18" s="243"/>
      <c r="G18" s="243"/>
      <c r="H18" s="243"/>
      <c r="I18" s="243"/>
      <c r="J18" s="243"/>
      <c r="K18" s="243"/>
      <c r="L18" s="243"/>
      <c r="M18" s="243"/>
      <c r="N18" s="243"/>
      <c r="O18" s="243"/>
      <c r="P18" s="243"/>
      <c r="Q18" s="243"/>
      <c r="R18" s="243"/>
      <c r="S18" s="239"/>
      <c r="T18" s="239"/>
    </row>
    <row r="19" spans="1:20" ht="39" x14ac:dyDescent="0.35">
      <c r="A19" s="240" t="s">
        <v>818</v>
      </c>
      <c r="B19" s="240" t="s">
        <v>648</v>
      </c>
      <c r="C19" s="240" t="s">
        <v>649</v>
      </c>
      <c r="D19" s="246" t="s">
        <v>650</v>
      </c>
      <c r="E19" s="246" t="s">
        <v>651</v>
      </c>
      <c r="F19" s="246" t="s">
        <v>618</v>
      </c>
      <c r="G19" s="246" t="s">
        <v>652</v>
      </c>
      <c r="H19" s="246" t="s">
        <v>653</v>
      </c>
      <c r="I19" s="243"/>
      <c r="J19" s="243"/>
      <c r="K19" s="243"/>
      <c r="L19" s="243"/>
      <c r="M19" s="243"/>
      <c r="N19" s="243"/>
      <c r="O19" s="243"/>
      <c r="P19" s="243"/>
      <c r="Q19" s="243"/>
      <c r="R19" s="243"/>
      <c r="S19" s="239"/>
      <c r="T19" s="239"/>
    </row>
    <row r="20" spans="1:20" x14ac:dyDescent="0.35">
      <c r="A20" s="239" t="s">
        <v>632</v>
      </c>
      <c r="B20" s="257">
        <f>O14</f>
        <v>17.798770773298777</v>
      </c>
      <c r="C20" s="258">
        <f>J5</f>
        <v>193771</v>
      </c>
      <c r="D20" s="241"/>
      <c r="E20" s="241"/>
      <c r="F20" s="39"/>
      <c r="G20" s="242"/>
      <c r="H20" s="243" t="s">
        <v>819</v>
      </c>
      <c r="I20" s="243"/>
      <c r="J20" s="243"/>
      <c r="K20" s="243"/>
      <c r="L20" s="243"/>
      <c r="M20" s="243"/>
      <c r="N20" s="243"/>
      <c r="O20" s="243"/>
      <c r="P20" s="243"/>
      <c r="Q20" s="243"/>
      <c r="R20" s="243"/>
      <c r="S20" s="239"/>
      <c r="T20" s="239"/>
    </row>
    <row r="21" spans="1:20" x14ac:dyDescent="0.35">
      <c r="A21" s="239" t="s">
        <v>607</v>
      </c>
      <c r="B21" s="257">
        <f>P14</f>
        <v>28.126048576972074</v>
      </c>
      <c r="C21" s="258">
        <f>K5</f>
        <v>133749</v>
      </c>
      <c r="D21" s="252">
        <f>E21+$E$5</f>
        <v>3791875.8711214382</v>
      </c>
      <c r="E21" s="252">
        <f>B21*C21</f>
        <v>3761830.8711214382</v>
      </c>
      <c r="F21" s="347">
        <f>E21/DCF!$E$12</f>
        <v>506.60636196934075</v>
      </c>
      <c r="G21" s="348">
        <f>F21/DCF!$E$13-1</f>
        <v>-4.6531605651213503E-2</v>
      </c>
      <c r="H21" s="243" t="s">
        <v>820</v>
      </c>
      <c r="I21" s="243"/>
      <c r="J21" s="243"/>
      <c r="K21" s="243"/>
      <c r="L21" s="243"/>
      <c r="M21" s="243"/>
      <c r="N21" s="243"/>
      <c r="O21" s="243"/>
      <c r="P21" s="243"/>
      <c r="Q21" s="243"/>
      <c r="R21" s="243"/>
      <c r="S21" s="239"/>
      <c r="T21" s="239"/>
    </row>
    <row r="22" spans="1:20" x14ac:dyDescent="0.35">
      <c r="A22" s="239" t="s">
        <v>633</v>
      </c>
      <c r="B22" s="257">
        <f>Q14</f>
        <v>53.733518958316274</v>
      </c>
      <c r="C22" s="258">
        <f>N5</f>
        <v>66987</v>
      </c>
      <c r="D22" s="241"/>
      <c r="E22" s="241"/>
      <c r="F22" s="39"/>
      <c r="G22" s="242"/>
      <c r="H22" s="243" t="s">
        <v>821</v>
      </c>
      <c r="I22" s="243"/>
      <c r="J22" s="243"/>
      <c r="K22" s="243"/>
      <c r="L22" s="243"/>
      <c r="M22" s="243"/>
      <c r="N22" s="243"/>
      <c r="O22" s="243"/>
      <c r="P22" s="243"/>
      <c r="Q22" s="243"/>
      <c r="R22" s="243"/>
      <c r="S22" s="239"/>
      <c r="T22" s="239"/>
    </row>
    <row r="23" spans="1:20" x14ac:dyDescent="0.35">
      <c r="A23" s="239" t="s">
        <v>634</v>
      </c>
      <c r="B23" s="260">
        <f>R14</f>
        <v>1.8685539403213467E-2</v>
      </c>
      <c r="C23" s="258">
        <f>N5</f>
        <v>66987</v>
      </c>
      <c r="D23" s="241"/>
      <c r="E23" s="241"/>
      <c r="F23" s="39"/>
      <c r="G23" s="242"/>
      <c r="H23" s="243" t="s">
        <v>822</v>
      </c>
      <c r="I23" s="243"/>
      <c r="J23" s="243"/>
      <c r="K23" s="243"/>
      <c r="L23" s="243"/>
      <c r="M23" s="243"/>
      <c r="N23" s="243"/>
      <c r="O23" s="243"/>
      <c r="P23" s="243"/>
      <c r="Q23" s="243"/>
      <c r="R23" s="243"/>
      <c r="S23" s="239"/>
      <c r="T23" s="239"/>
    </row>
    <row r="24" spans="1:20" x14ac:dyDescent="0.35">
      <c r="A24" s="239"/>
      <c r="B24" s="239"/>
      <c r="C24" s="239"/>
      <c r="D24" s="243"/>
      <c r="E24" s="243"/>
      <c r="F24" s="243"/>
      <c r="G24" s="243"/>
      <c r="H24" s="243"/>
      <c r="I24" s="243"/>
      <c r="J24" s="243"/>
      <c r="K24" s="243"/>
      <c r="L24" s="243"/>
      <c r="M24" s="243"/>
      <c r="N24" s="243"/>
      <c r="O24" s="243"/>
      <c r="P24" s="243"/>
      <c r="Q24" s="243"/>
      <c r="R24" s="243"/>
      <c r="S24" s="239"/>
      <c r="T24" s="239"/>
    </row>
    <row r="25" spans="1:20" x14ac:dyDescent="0.35">
      <c r="A25" s="239"/>
      <c r="B25" s="239"/>
      <c r="C25" s="239"/>
      <c r="D25" s="243"/>
      <c r="E25" s="243"/>
      <c r="F25" s="243"/>
      <c r="G25" s="243"/>
      <c r="H25" s="243"/>
      <c r="I25" s="243"/>
      <c r="J25" s="243"/>
      <c r="K25" s="243"/>
      <c r="L25" s="243"/>
      <c r="M25" s="243"/>
      <c r="N25" s="243"/>
      <c r="O25" s="243"/>
      <c r="P25" s="243"/>
      <c r="Q25" s="243"/>
      <c r="R25" s="243"/>
      <c r="S25" s="239"/>
      <c r="T25" s="239"/>
    </row>
    <row r="26" spans="1:20" ht="26" x14ac:dyDescent="0.35">
      <c r="A26" s="240" t="s">
        <v>654</v>
      </c>
      <c r="B26" s="240" t="s">
        <v>655</v>
      </c>
      <c r="C26" s="240" t="s">
        <v>656</v>
      </c>
      <c r="D26" s="246" t="s">
        <v>657</v>
      </c>
      <c r="E26" s="246" t="s">
        <v>658</v>
      </c>
      <c r="F26" s="246" t="s">
        <v>659</v>
      </c>
      <c r="G26" s="246" t="s">
        <v>660</v>
      </c>
      <c r="H26" s="246" t="s">
        <v>619</v>
      </c>
      <c r="I26" s="243"/>
      <c r="J26" s="243"/>
      <c r="K26" s="243"/>
      <c r="L26" s="243"/>
      <c r="M26" s="243"/>
      <c r="N26" s="243"/>
      <c r="O26" s="243"/>
      <c r="P26" s="243"/>
      <c r="Q26" s="243"/>
      <c r="R26" s="243"/>
      <c r="S26" s="239"/>
      <c r="T26" s="239"/>
    </row>
    <row r="27" spans="1:20" ht="25" x14ac:dyDescent="0.35">
      <c r="A27" s="239" t="s">
        <v>632</v>
      </c>
      <c r="B27" s="257">
        <f>O5</f>
        <v>20.51629233218593</v>
      </c>
      <c r="C27" s="257">
        <f>O14</f>
        <v>17.798770773298777</v>
      </c>
      <c r="D27" s="254">
        <f>B27/C27-1</f>
        <v>0.1526802942461567</v>
      </c>
      <c r="E27" s="347">
        <f>DCF!$E$55</f>
        <v>403.26434317389527</v>
      </c>
      <c r="F27" s="347">
        <f>DCF!$E$13</f>
        <v>531.33000000000004</v>
      </c>
      <c r="G27" s="259">
        <f>F27-E27</f>
        <v>128.06565682610477</v>
      </c>
      <c r="H27" s="247" t="s">
        <v>661</v>
      </c>
      <c r="I27" s="243"/>
      <c r="J27" s="243"/>
      <c r="K27" s="243"/>
      <c r="L27" s="243"/>
      <c r="M27" s="243"/>
      <c r="N27" s="243"/>
      <c r="O27" s="243"/>
      <c r="P27" s="243"/>
      <c r="Q27" s="243"/>
      <c r="R27" s="243"/>
      <c r="S27" s="239"/>
      <c r="T27" s="239"/>
    </row>
    <row r="28" spans="1:20" ht="25" x14ac:dyDescent="0.35">
      <c r="A28" s="239" t="s">
        <v>607</v>
      </c>
      <c r="B28" s="257">
        <f>P5</f>
        <v>29.498669010609426</v>
      </c>
      <c r="C28" s="257">
        <f>P14</f>
        <v>28.126048576972074</v>
      </c>
      <c r="D28" s="254">
        <f>B28/C28-1</f>
        <v>4.8802462595516127E-2</v>
      </c>
      <c r="E28" s="347">
        <f>DCF!$E$55</f>
        <v>403.26434317389527</v>
      </c>
      <c r="F28" s="347">
        <f>DCF!$E$13</f>
        <v>531.33000000000004</v>
      </c>
      <c r="G28" s="259">
        <f>F28-E28</f>
        <v>128.06565682610477</v>
      </c>
      <c r="H28" s="247" t="s">
        <v>662</v>
      </c>
      <c r="I28" s="243"/>
      <c r="J28" s="243"/>
      <c r="K28" s="243"/>
      <c r="L28" s="243"/>
      <c r="M28" s="243"/>
      <c r="N28" s="243"/>
      <c r="O28" s="243"/>
      <c r="P28" s="243"/>
      <c r="Q28" s="243"/>
      <c r="R28" s="243"/>
      <c r="S28" s="239"/>
      <c r="T28" s="239"/>
    </row>
    <row r="29" spans="1:20" ht="25" x14ac:dyDescent="0.35">
      <c r="A29" s="239" t="s">
        <v>633</v>
      </c>
      <c r="B29" s="257">
        <f>Q5</f>
        <v>59.346775963993018</v>
      </c>
      <c r="C29" s="257">
        <f>Q14</f>
        <v>53.733518958316274</v>
      </c>
      <c r="D29" s="254">
        <f>B29/C29-1</f>
        <v>0.10446471987124495</v>
      </c>
      <c r="E29" s="347">
        <f>DCF!$E$55</f>
        <v>403.26434317389527</v>
      </c>
      <c r="F29" s="347">
        <f>DCF!$E$13</f>
        <v>531.33000000000004</v>
      </c>
      <c r="G29" s="259">
        <f>F29-E29</f>
        <v>128.06565682610477</v>
      </c>
      <c r="H29" s="247" t="s">
        <v>663</v>
      </c>
      <c r="I29" s="243"/>
      <c r="J29" s="243"/>
      <c r="K29" s="243"/>
      <c r="L29" s="243"/>
      <c r="M29" s="243"/>
      <c r="N29" s="243"/>
      <c r="O29" s="243"/>
      <c r="P29" s="243"/>
      <c r="Q29" s="243"/>
      <c r="R29" s="243"/>
      <c r="S29" s="239"/>
      <c r="T29" s="239"/>
    </row>
    <row r="30" spans="1:20" ht="25" x14ac:dyDescent="0.35">
      <c r="A30" s="239" t="s">
        <v>634</v>
      </c>
      <c r="B30" s="260">
        <f>R5</f>
        <v>1.6978431386311076E-2</v>
      </c>
      <c r="C30" s="260">
        <f>R14</f>
        <v>1.8685539403213467E-2</v>
      </c>
      <c r="D30" s="254">
        <f>B30/C30-1</f>
        <v>-9.1359846781239318E-2</v>
      </c>
      <c r="E30" s="347">
        <f>DCF!$E$55</f>
        <v>403.26434317389527</v>
      </c>
      <c r="F30" s="347">
        <f>DCF!$E$13</f>
        <v>531.33000000000004</v>
      </c>
      <c r="G30" s="259">
        <f>F30-E30</f>
        <v>128.06565682610477</v>
      </c>
      <c r="H30" s="247" t="s">
        <v>664</v>
      </c>
      <c r="I30" s="243"/>
      <c r="J30" s="243"/>
      <c r="K30" s="243"/>
      <c r="L30" s="243"/>
      <c r="M30" s="243"/>
      <c r="N30" s="243"/>
      <c r="O30" s="243"/>
      <c r="P30" s="243"/>
      <c r="Q30" s="243"/>
      <c r="R30" s="243"/>
      <c r="S30" s="239"/>
      <c r="T30" s="239"/>
    </row>
    <row r="31" spans="1:20" x14ac:dyDescent="0.35">
      <c r="A31" s="239"/>
      <c r="B31" s="239"/>
      <c r="C31" s="239"/>
      <c r="D31" s="243"/>
      <c r="E31" s="243"/>
      <c r="F31" s="243"/>
      <c r="G31" s="243"/>
      <c r="H31" s="243"/>
      <c r="I31" s="243"/>
      <c r="J31" s="243"/>
      <c r="K31" s="243"/>
      <c r="L31" s="243"/>
      <c r="M31" s="243"/>
      <c r="N31" s="243"/>
      <c r="O31" s="243"/>
      <c r="P31" s="243"/>
      <c r="Q31" s="243"/>
      <c r="R31" s="243"/>
      <c r="S31" s="239"/>
      <c r="T31" s="239"/>
    </row>
    <row r="32" spans="1:20" x14ac:dyDescent="0.35">
      <c r="A32" s="239"/>
      <c r="B32" s="239"/>
      <c r="C32" s="239"/>
      <c r="D32" s="243"/>
      <c r="E32" s="243"/>
      <c r="F32" s="243"/>
      <c r="G32" s="243"/>
      <c r="H32" s="243"/>
      <c r="I32" s="243"/>
      <c r="J32" s="243"/>
      <c r="K32" s="243"/>
      <c r="L32" s="243"/>
      <c r="M32" s="243"/>
      <c r="N32" s="243"/>
      <c r="O32" s="243"/>
      <c r="P32" s="243"/>
      <c r="Q32" s="243"/>
      <c r="R32" s="243"/>
      <c r="S32" s="239"/>
      <c r="T32" s="239"/>
    </row>
    <row r="33" spans="1:20" ht="26" x14ac:dyDescent="0.35">
      <c r="A33" s="240" t="s">
        <v>665</v>
      </c>
      <c r="B33" s="240" t="s">
        <v>666</v>
      </c>
      <c r="C33" s="240" t="s">
        <v>667</v>
      </c>
      <c r="D33" s="246" t="s">
        <v>668</v>
      </c>
      <c r="E33" s="246" t="s">
        <v>669</v>
      </c>
      <c r="F33" s="246" t="s">
        <v>670</v>
      </c>
      <c r="G33" s="246" t="s">
        <v>671</v>
      </c>
      <c r="H33" s="246" t="s">
        <v>491</v>
      </c>
      <c r="I33" s="243"/>
      <c r="J33" s="243"/>
      <c r="K33" s="243"/>
      <c r="L33" s="243"/>
      <c r="M33" s="243"/>
      <c r="N33" s="243"/>
      <c r="O33" s="243"/>
      <c r="P33" s="243"/>
      <c r="Q33" s="243"/>
      <c r="R33" s="243"/>
      <c r="S33" s="239"/>
      <c r="T33" s="239"/>
    </row>
    <row r="34" spans="1:20" ht="37.5" x14ac:dyDescent="0.35">
      <c r="A34" s="239" t="s">
        <v>695</v>
      </c>
      <c r="B34" s="349">
        <f>DCF!E55</f>
        <v>403.26434317389527</v>
      </c>
      <c r="C34" s="349">
        <f>DCF!E13</f>
        <v>531.33000000000004</v>
      </c>
      <c r="D34" s="259">
        <f>C34-B34</f>
        <v>128.06565682610477</v>
      </c>
      <c r="E34" s="243" t="s">
        <v>672</v>
      </c>
      <c r="F34" s="247" t="s">
        <v>673</v>
      </c>
      <c r="G34" s="247" t="s">
        <v>674</v>
      </c>
      <c r="H34" s="247" t="s">
        <v>675</v>
      </c>
      <c r="I34" s="243"/>
      <c r="J34" s="243"/>
      <c r="K34" s="243"/>
      <c r="L34" s="243"/>
      <c r="M34" s="243"/>
      <c r="N34" s="243"/>
      <c r="O34" s="243"/>
      <c r="P34" s="243"/>
      <c r="Q34" s="243"/>
      <c r="R34" s="243"/>
      <c r="S34" s="239"/>
      <c r="T34" s="239"/>
    </row>
    <row r="35" spans="1:20" ht="37.5" x14ac:dyDescent="0.35">
      <c r="A35" s="239" t="s">
        <v>676</v>
      </c>
      <c r="B35" s="350">
        <f>'Valuation Sensitivities'!C45</f>
        <v>454924.49686513108</v>
      </c>
      <c r="C35" s="350">
        <f>DCF!E39</f>
        <v>312947.83106719214</v>
      </c>
      <c r="D35" s="252">
        <f>B35-C35</f>
        <v>141976.66579793894</v>
      </c>
      <c r="E35" s="243" t="s">
        <v>677</v>
      </c>
      <c r="F35" s="247" t="s">
        <v>678</v>
      </c>
      <c r="G35" s="247" t="s">
        <v>679</v>
      </c>
      <c r="H35" s="247" t="s">
        <v>675</v>
      </c>
      <c r="I35" s="243"/>
      <c r="J35" s="243"/>
      <c r="K35" s="243"/>
      <c r="L35" s="243"/>
      <c r="M35" s="243"/>
      <c r="N35" s="243"/>
      <c r="O35" s="243"/>
      <c r="P35" s="243"/>
      <c r="Q35" s="243"/>
      <c r="R35" s="243"/>
      <c r="S35" s="239"/>
      <c r="T35" s="239"/>
    </row>
    <row r="36" spans="1:20" ht="37.5" x14ac:dyDescent="0.35">
      <c r="A36" s="239" t="s">
        <v>680</v>
      </c>
      <c r="B36" s="351">
        <f>DCF!D29</f>
        <v>0.34941040685392616</v>
      </c>
      <c r="C36" s="351">
        <f>DCF!I29</f>
        <v>0.30625593083296482</v>
      </c>
      <c r="D36" s="254">
        <f>C36-B36</f>
        <v>-4.3154476020961341E-2</v>
      </c>
      <c r="E36" s="243" t="s">
        <v>681</v>
      </c>
      <c r="F36" s="247" t="s">
        <v>682</v>
      </c>
      <c r="G36" s="247" t="s">
        <v>683</v>
      </c>
      <c r="H36" s="247" t="s">
        <v>675</v>
      </c>
      <c r="I36" s="243"/>
      <c r="J36" s="243"/>
      <c r="K36" s="243"/>
      <c r="L36" s="243"/>
      <c r="M36" s="243"/>
      <c r="N36" s="243"/>
      <c r="O36" s="243"/>
      <c r="P36" s="243"/>
      <c r="Q36" s="243"/>
      <c r="R36" s="243"/>
      <c r="S36" s="239"/>
      <c r="T36" s="239"/>
    </row>
    <row r="37" spans="1:20" ht="25" x14ac:dyDescent="0.35">
      <c r="A37" s="239" t="s">
        <v>684</v>
      </c>
      <c r="B37" s="351">
        <f>DCF!E9</f>
        <v>0.15</v>
      </c>
      <c r="C37" s="351">
        <f>DCF!E6</f>
        <v>9.053558405181325E-2</v>
      </c>
      <c r="D37" s="254">
        <f>B37-C37</f>
        <v>5.9464415948186744E-2</v>
      </c>
      <c r="E37" s="243" t="s">
        <v>681</v>
      </c>
      <c r="F37" s="247" t="s">
        <v>685</v>
      </c>
      <c r="G37" s="247" t="s">
        <v>686</v>
      </c>
      <c r="H37" s="247" t="s">
        <v>675</v>
      </c>
      <c r="I37" s="243"/>
      <c r="J37" s="243"/>
      <c r="K37" s="243"/>
      <c r="L37" s="243"/>
      <c r="M37" s="243"/>
      <c r="N37" s="243"/>
      <c r="O37" s="243"/>
      <c r="P37" s="243"/>
      <c r="Q37" s="243"/>
      <c r="R37" s="243"/>
      <c r="S37" s="239"/>
      <c r="T37" s="239"/>
    </row>
    <row r="38" spans="1:20" x14ac:dyDescent="0.35">
      <c r="A38" s="239"/>
      <c r="B38" s="239"/>
      <c r="C38" s="239"/>
      <c r="D38" s="239"/>
      <c r="E38" s="239"/>
      <c r="F38" s="239"/>
      <c r="G38" s="239"/>
      <c r="H38" s="239"/>
      <c r="I38" s="239"/>
      <c r="J38" s="239"/>
      <c r="K38" s="239"/>
      <c r="L38" s="239"/>
      <c r="M38" s="239"/>
      <c r="N38" s="239"/>
      <c r="O38" s="239"/>
      <c r="P38" s="239"/>
      <c r="Q38" s="239"/>
      <c r="R38" s="239"/>
      <c r="S38" s="239"/>
      <c r="T38" s="239"/>
    </row>
    <row r="39" spans="1:20" x14ac:dyDescent="0.35">
      <c r="A39" s="239"/>
      <c r="B39" s="239"/>
      <c r="C39" s="239"/>
      <c r="D39" s="239"/>
      <c r="E39" s="239"/>
      <c r="F39" s="239"/>
      <c r="G39" s="239"/>
      <c r="H39" s="239"/>
      <c r="I39" s="239"/>
      <c r="J39" s="239"/>
      <c r="K39" s="239"/>
      <c r="L39" s="239"/>
      <c r="M39" s="239"/>
      <c r="N39" s="239"/>
      <c r="O39" s="239"/>
      <c r="P39" s="239"/>
      <c r="Q39" s="239"/>
      <c r="R39" s="239"/>
      <c r="S39" s="239"/>
      <c r="T39" s="239"/>
    </row>
    <row r="40" spans="1:20" x14ac:dyDescent="0.35">
      <c r="A40" s="379" t="s">
        <v>823</v>
      </c>
      <c r="B40" s="379"/>
      <c r="C40" s="379"/>
      <c r="D40" s="379"/>
      <c r="E40" s="379"/>
      <c r="F40" s="379"/>
      <c r="G40" s="379"/>
      <c r="H40" s="379"/>
      <c r="I40" s="379"/>
      <c r="J40" s="379"/>
      <c r="K40" s="379"/>
      <c r="L40" s="379"/>
      <c r="M40" s="379"/>
      <c r="N40" s="379"/>
      <c r="O40" s="379"/>
      <c r="P40" s="379"/>
      <c r="Q40" s="379"/>
      <c r="R40" s="379"/>
      <c r="S40" s="379"/>
      <c r="T40" s="379"/>
    </row>
    <row r="41" spans="1:20" x14ac:dyDescent="0.35">
      <c r="A41" s="380" t="str">
        <f>"Historical peer P/E is retained as the primary trading cross-check. The peer median is "&amp;TEXT(P14,"0.00x")&amp;", implying "&amp;TEXT(F21,"$0.00")&amp;" per Microsoft share versus the "&amp;TEXT(DCF!E55,"$0.00")&amp;" Base DCF and "&amp;TEXT(DCF!E13,"$0.00")&amp;" reference price on 27-Oct-2026. EV/EBITDA is excluded from the primary conclusion until D&amp;A definitions are harmonized; EV/FCF is excluded because its cash-flow denominator is after interest; FCF yield is diagnostic only."</f>
        <v>Historical peer P/E is retained as the primary trading cross-check. The peer median is 28.13x, implying $506.61 per Microsoft share versus the $403.26 Base DCF and $531.33 reference price on 27-Oct-2026. EV/EBITDA is excluded from the primary conclusion until D&amp;A definitions are harmonized; EV/FCF is excluded because its cash-flow denominator is after interest; FCF yield is diagnostic only.</v>
      </c>
      <c r="B41" s="381"/>
      <c r="C41" s="381"/>
      <c r="D41" s="381"/>
      <c r="E41" s="381"/>
      <c r="F41" s="381"/>
      <c r="G41" s="381"/>
      <c r="H41" s="381"/>
      <c r="I41" s="381"/>
      <c r="J41" s="381"/>
      <c r="K41" s="381"/>
      <c r="L41" s="381"/>
      <c r="M41" s="381"/>
      <c r="N41" s="381"/>
      <c r="O41" s="381"/>
      <c r="P41" s="381"/>
      <c r="Q41" s="381"/>
      <c r="R41" s="381"/>
      <c r="S41" s="381"/>
      <c r="T41" s="381"/>
    </row>
    <row r="42" spans="1:20" x14ac:dyDescent="0.35">
      <c r="A42" s="381"/>
      <c r="B42" s="381"/>
      <c r="C42" s="381"/>
      <c r="D42" s="381"/>
      <c r="E42" s="381"/>
      <c r="F42" s="381"/>
      <c r="G42" s="381"/>
      <c r="H42" s="381"/>
      <c r="I42" s="381"/>
      <c r="J42" s="381"/>
      <c r="K42" s="381"/>
      <c r="L42" s="381"/>
      <c r="M42" s="381"/>
      <c r="N42" s="381"/>
      <c r="O42" s="381"/>
      <c r="P42" s="381"/>
      <c r="Q42" s="381"/>
      <c r="R42" s="381"/>
      <c r="S42" s="381"/>
      <c r="T42" s="381"/>
    </row>
    <row r="43" spans="1:20" x14ac:dyDescent="0.35">
      <c r="A43" s="381"/>
      <c r="B43" s="381"/>
      <c r="C43" s="381"/>
      <c r="D43" s="381"/>
      <c r="E43" s="381"/>
      <c r="F43" s="381"/>
      <c r="G43" s="381"/>
      <c r="H43" s="381"/>
      <c r="I43" s="381"/>
      <c r="J43" s="381"/>
      <c r="K43" s="381"/>
      <c r="L43" s="381"/>
      <c r="M43" s="381"/>
      <c r="N43" s="381"/>
      <c r="O43" s="381"/>
      <c r="P43" s="381"/>
      <c r="Q43" s="381"/>
      <c r="R43" s="381"/>
      <c r="S43" s="381"/>
      <c r="T43" s="381"/>
    </row>
    <row r="44" spans="1:20" x14ac:dyDescent="0.35">
      <c r="A44" s="239"/>
      <c r="B44" s="239"/>
      <c r="C44" s="239"/>
      <c r="D44" s="239"/>
      <c r="E44" s="239"/>
      <c r="F44" s="239"/>
      <c r="G44" s="239"/>
      <c r="H44" s="239"/>
      <c r="I44" s="239"/>
      <c r="J44" s="239"/>
      <c r="K44" s="239"/>
      <c r="L44" s="239"/>
      <c r="M44" s="239"/>
      <c r="N44" s="239"/>
      <c r="O44" s="239"/>
      <c r="P44" s="239"/>
      <c r="Q44" s="239"/>
      <c r="R44" s="239"/>
      <c r="S44" s="239"/>
      <c r="T44" s="239"/>
    </row>
    <row r="45" spans="1:20" x14ac:dyDescent="0.35">
      <c r="A45" s="244" t="s">
        <v>687</v>
      </c>
      <c r="B45" s="244"/>
      <c r="C45" s="244"/>
      <c r="D45" s="244"/>
      <c r="E45" s="244"/>
      <c r="F45" s="244"/>
      <c r="G45" s="244"/>
      <c r="H45" s="244"/>
      <c r="I45" s="244"/>
      <c r="J45" s="244"/>
      <c r="K45" s="244"/>
      <c r="L45" s="244"/>
      <c r="M45" s="244"/>
      <c r="N45" s="244"/>
      <c r="O45" s="244"/>
      <c r="P45" s="244"/>
      <c r="Q45" s="244"/>
      <c r="R45" s="244"/>
      <c r="S45" s="244"/>
      <c r="T45" s="244"/>
    </row>
    <row r="46" spans="1:20" x14ac:dyDescent="0.35">
      <c r="A46" s="381" t="s">
        <v>824</v>
      </c>
      <c r="B46" s="381"/>
      <c r="C46" s="381"/>
      <c r="D46" s="381"/>
      <c r="E46" s="381"/>
      <c r="F46" s="381"/>
      <c r="G46" s="381"/>
      <c r="H46" s="381"/>
      <c r="I46" s="381"/>
      <c r="J46" s="381"/>
      <c r="K46" s="381"/>
      <c r="L46" s="381"/>
      <c r="M46" s="381"/>
      <c r="N46" s="381"/>
      <c r="O46" s="381"/>
      <c r="P46" s="381"/>
      <c r="Q46" s="381"/>
      <c r="R46" s="381"/>
      <c r="S46" s="381"/>
      <c r="T46" s="381"/>
    </row>
    <row r="47" spans="1:20" x14ac:dyDescent="0.35">
      <c r="A47" s="381" t="s">
        <v>847</v>
      </c>
      <c r="B47" s="381"/>
      <c r="C47" s="381"/>
      <c r="D47" s="381"/>
      <c r="E47" s="381"/>
      <c r="F47" s="381"/>
      <c r="G47" s="381"/>
      <c r="H47" s="381"/>
      <c r="I47" s="381"/>
      <c r="J47" s="381"/>
      <c r="K47" s="381"/>
      <c r="L47" s="381"/>
      <c r="M47" s="381"/>
      <c r="N47" s="381"/>
      <c r="O47" s="381"/>
      <c r="P47" s="381"/>
      <c r="Q47" s="381"/>
      <c r="R47" s="381"/>
      <c r="S47" s="381"/>
      <c r="T47" s="381"/>
    </row>
    <row r="48" spans="1:20" x14ac:dyDescent="0.35">
      <c r="A48" s="381" t="s">
        <v>848</v>
      </c>
      <c r="B48" s="381"/>
      <c r="C48" s="381"/>
      <c r="D48" s="381"/>
      <c r="E48" s="381"/>
      <c r="F48" s="381"/>
      <c r="G48" s="381"/>
      <c r="H48" s="381"/>
      <c r="I48" s="381"/>
      <c r="J48" s="381"/>
      <c r="K48" s="381"/>
      <c r="L48" s="381"/>
      <c r="M48" s="381"/>
      <c r="N48" s="381"/>
      <c r="O48" s="381"/>
      <c r="P48" s="381"/>
      <c r="Q48" s="381"/>
      <c r="R48" s="381"/>
      <c r="S48" s="381"/>
      <c r="T48" s="381"/>
    </row>
    <row r="49" spans="1:20" x14ac:dyDescent="0.35">
      <c r="A49" s="381" t="s">
        <v>825</v>
      </c>
      <c r="B49" s="381"/>
      <c r="C49" s="381"/>
      <c r="D49" s="381"/>
      <c r="E49" s="381"/>
      <c r="F49" s="381"/>
      <c r="G49" s="381"/>
      <c r="H49" s="381"/>
      <c r="I49" s="381"/>
      <c r="J49" s="381"/>
      <c r="K49" s="381"/>
      <c r="L49" s="381"/>
      <c r="M49" s="381"/>
      <c r="N49" s="381"/>
      <c r="O49" s="381"/>
      <c r="P49" s="381"/>
      <c r="Q49" s="381"/>
      <c r="R49" s="381"/>
      <c r="S49" s="381"/>
      <c r="T49" s="381"/>
    </row>
    <row r="50" spans="1:20" x14ac:dyDescent="0.35">
      <c r="A50" s="381" t="s">
        <v>826</v>
      </c>
      <c r="B50" s="381"/>
      <c r="C50" s="381"/>
      <c r="D50" s="381"/>
      <c r="E50" s="381"/>
      <c r="F50" s="381"/>
      <c r="G50" s="381"/>
      <c r="H50" s="381"/>
      <c r="I50" s="381"/>
      <c r="J50" s="381"/>
      <c r="K50" s="381"/>
      <c r="L50" s="381"/>
      <c r="M50" s="381"/>
      <c r="N50" s="381"/>
      <c r="O50" s="381"/>
      <c r="P50" s="381"/>
      <c r="Q50" s="381"/>
      <c r="R50" s="381"/>
      <c r="S50" s="381"/>
      <c r="T50" s="381"/>
    </row>
    <row r="52" spans="1:20" x14ac:dyDescent="0.35">
      <c r="A52" s="382" t="s">
        <v>827</v>
      </c>
      <c r="B52" s="382"/>
      <c r="C52" s="382"/>
      <c r="D52" s="382"/>
      <c r="E52" s="382"/>
      <c r="F52" s="382"/>
      <c r="G52" s="382"/>
      <c r="H52" s="382"/>
      <c r="I52" s="382"/>
      <c r="J52" s="382"/>
      <c r="K52" s="382"/>
      <c r="L52" s="382"/>
      <c r="M52" s="382"/>
      <c r="N52" s="382"/>
      <c r="O52" s="382"/>
      <c r="P52" s="382"/>
      <c r="Q52" s="382"/>
      <c r="R52" s="382"/>
      <c r="S52" s="382"/>
      <c r="T52" s="382"/>
    </row>
    <row r="53" spans="1:20" ht="26.5" x14ac:dyDescent="0.35">
      <c r="A53" s="248" t="s">
        <v>696</v>
      </c>
      <c r="B53" s="248" t="s">
        <v>697</v>
      </c>
      <c r="C53" s="248" t="s">
        <v>698</v>
      </c>
      <c r="D53" s="248" t="s">
        <v>699</v>
      </c>
      <c r="E53" s="248" t="s">
        <v>700</v>
      </c>
      <c r="F53" s="248" t="s">
        <v>701</v>
      </c>
      <c r="G53" s="248" t="s">
        <v>620</v>
      </c>
      <c r="H53" s="248" t="s">
        <v>491</v>
      </c>
      <c r="I53" s="109"/>
      <c r="J53" s="109"/>
      <c r="K53" s="109"/>
      <c r="L53" s="109"/>
      <c r="M53" s="109"/>
      <c r="N53" s="109"/>
      <c r="O53" s="109"/>
      <c r="P53" s="109"/>
      <c r="Q53" s="109"/>
      <c r="R53" s="109"/>
      <c r="S53" s="109"/>
      <c r="T53" s="109"/>
    </row>
    <row r="54" spans="1:20" ht="76" x14ac:dyDescent="0.35">
      <c r="A54" s="109" t="s">
        <v>702</v>
      </c>
      <c r="B54" s="109" t="s">
        <v>703</v>
      </c>
      <c r="C54" s="251">
        <v>0.15</v>
      </c>
      <c r="D54" s="109" t="s">
        <v>704</v>
      </c>
      <c r="E54" s="109" t="s">
        <v>705</v>
      </c>
      <c r="F54" s="109" t="s">
        <v>706</v>
      </c>
      <c r="G54" s="109" t="s">
        <v>707</v>
      </c>
      <c r="H54" s="109" t="s">
        <v>708</v>
      </c>
      <c r="I54" s="109"/>
      <c r="J54" s="109"/>
      <c r="K54" s="109"/>
      <c r="L54" s="109"/>
      <c r="M54" s="109"/>
      <c r="N54" s="109"/>
      <c r="O54" s="109"/>
      <c r="P54" s="109"/>
      <c r="Q54" s="109"/>
      <c r="R54" s="109"/>
      <c r="S54" s="109"/>
      <c r="T54" s="109"/>
    </row>
    <row r="55" spans="1:20" ht="76" x14ac:dyDescent="0.35">
      <c r="A55" s="109" t="s">
        <v>709</v>
      </c>
      <c r="B55" s="109" t="s">
        <v>710</v>
      </c>
      <c r="C55" s="109" t="s">
        <v>711</v>
      </c>
      <c r="D55" s="109" t="s">
        <v>712</v>
      </c>
      <c r="E55" s="109" t="s">
        <v>713</v>
      </c>
      <c r="F55" s="109" t="s">
        <v>714</v>
      </c>
      <c r="G55" s="109" t="s">
        <v>715</v>
      </c>
      <c r="H55" s="109" t="s">
        <v>716</v>
      </c>
      <c r="I55" s="109"/>
      <c r="J55" s="109"/>
      <c r="K55" s="109"/>
      <c r="L55" s="109"/>
      <c r="M55" s="109"/>
      <c r="N55" s="109"/>
      <c r="O55" s="109"/>
      <c r="P55" s="109"/>
      <c r="Q55" s="109"/>
      <c r="R55" s="109"/>
      <c r="S55" s="109"/>
      <c r="T55" s="109"/>
    </row>
    <row r="56" spans="1:20" ht="76" x14ac:dyDescent="0.35">
      <c r="A56" s="109" t="s">
        <v>717</v>
      </c>
      <c r="B56" s="109" t="s">
        <v>718</v>
      </c>
      <c r="C56" s="109" t="s">
        <v>719</v>
      </c>
      <c r="D56" s="109" t="s">
        <v>720</v>
      </c>
      <c r="E56" s="109" t="s">
        <v>721</v>
      </c>
      <c r="F56" s="109" t="s">
        <v>722</v>
      </c>
      <c r="G56" s="109" t="s">
        <v>723</v>
      </c>
      <c r="H56" s="109" t="s">
        <v>724</v>
      </c>
      <c r="I56" s="109"/>
      <c r="J56" s="109"/>
      <c r="K56" s="109"/>
      <c r="L56" s="109"/>
      <c r="M56" s="109"/>
      <c r="N56" s="109"/>
      <c r="O56" s="109"/>
      <c r="P56" s="109"/>
      <c r="Q56" s="109"/>
      <c r="R56" s="109"/>
      <c r="S56" s="109"/>
      <c r="T56" s="109"/>
    </row>
    <row r="57" spans="1:20" x14ac:dyDescent="0.35">
      <c r="A57" s="109"/>
      <c r="B57" s="109"/>
      <c r="C57" s="109"/>
      <c r="D57" s="109"/>
      <c r="E57" s="109"/>
      <c r="F57" s="109"/>
      <c r="G57" s="109"/>
      <c r="H57" s="109"/>
      <c r="I57" s="109"/>
      <c r="J57" s="109"/>
      <c r="K57" s="109"/>
      <c r="L57" s="109"/>
      <c r="M57" s="109"/>
      <c r="N57" s="109"/>
      <c r="O57" s="109"/>
      <c r="P57" s="109"/>
      <c r="Q57" s="109"/>
      <c r="R57" s="109"/>
      <c r="S57" s="109"/>
      <c r="T57" s="109"/>
    </row>
    <row r="58" spans="1:20" x14ac:dyDescent="0.35">
      <c r="A58" s="109"/>
      <c r="B58" s="109"/>
      <c r="C58" s="109"/>
      <c r="D58" s="109"/>
      <c r="E58" s="109"/>
      <c r="F58" s="109"/>
      <c r="G58" s="109"/>
      <c r="H58" s="109"/>
      <c r="I58" s="109"/>
      <c r="J58" s="109"/>
      <c r="K58" s="109"/>
      <c r="L58" s="109"/>
      <c r="M58" s="109"/>
      <c r="N58" s="109"/>
      <c r="O58" s="109"/>
      <c r="P58" s="109"/>
      <c r="Q58" s="109"/>
      <c r="R58" s="109"/>
      <c r="S58" s="109"/>
      <c r="T58" s="109"/>
    </row>
    <row r="59" spans="1:20" x14ac:dyDescent="0.35">
      <c r="A59" s="248" t="s">
        <v>725</v>
      </c>
      <c r="B59" s="248" t="s">
        <v>467</v>
      </c>
      <c r="C59" s="248" t="s">
        <v>726</v>
      </c>
      <c r="D59" s="248" t="s">
        <v>624</v>
      </c>
      <c r="E59" s="248" t="s">
        <v>669</v>
      </c>
      <c r="F59" s="248" t="s">
        <v>619</v>
      </c>
      <c r="G59" s="248" t="s">
        <v>727</v>
      </c>
      <c r="H59" s="248" t="s">
        <v>670</v>
      </c>
      <c r="I59" s="109"/>
      <c r="J59" s="109"/>
      <c r="K59" s="109"/>
      <c r="L59" s="109"/>
      <c r="M59" s="109"/>
      <c r="N59" s="109"/>
      <c r="O59" s="109"/>
      <c r="P59" s="109"/>
      <c r="Q59" s="109"/>
      <c r="R59" s="109"/>
      <c r="S59" s="109"/>
      <c r="T59" s="109"/>
    </row>
    <row r="60" spans="1:20" ht="51" x14ac:dyDescent="0.35">
      <c r="A60" s="109" t="s">
        <v>728</v>
      </c>
      <c r="B60" s="352">
        <f>'Trend Analysis'!I8</f>
        <v>0.35857939734445748</v>
      </c>
      <c r="C60" s="352">
        <f>MAX('Trend Analysis'!F8:I8)</f>
        <v>0.5652697117557749</v>
      </c>
      <c r="D60" s="261">
        <f t="shared" ref="D60:D65" si="1">B60-C60</f>
        <v>-0.20669031441131741</v>
      </c>
      <c r="E60" s="109" t="s">
        <v>681</v>
      </c>
      <c r="F60" s="109" t="s">
        <v>729</v>
      </c>
      <c r="G60" s="109" t="s">
        <v>730</v>
      </c>
      <c r="H60" s="109" t="s">
        <v>828</v>
      </c>
      <c r="I60" s="109"/>
      <c r="J60" s="109"/>
      <c r="K60" s="109"/>
      <c r="L60" s="109"/>
      <c r="M60" s="109"/>
      <c r="N60" s="109"/>
      <c r="O60" s="109"/>
      <c r="P60" s="109"/>
      <c r="Q60" s="109"/>
      <c r="R60" s="109"/>
      <c r="S60" s="109"/>
      <c r="T60" s="109"/>
    </row>
    <row r="61" spans="1:20" ht="38.5" x14ac:dyDescent="0.35">
      <c r="A61" s="109" t="s">
        <v>731</v>
      </c>
      <c r="B61" s="352">
        <f>'Trend Analysis'!I12</f>
        <v>0.16926553246697312</v>
      </c>
      <c r="C61" s="352">
        <f>DCF!E9</f>
        <v>0.15</v>
      </c>
      <c r="D61" s="261">
        <f t="shared" si="1"/>
        <v>1.9265532466973129E-2</v>
      </c>
      <c r="E61" s="109" t="s">
        <v>681</v>
      </c>
      <c r="F61" s="109" t="s">
        <v>732</v>
      </c>
      <c r="G61" s="109" t="s">
        <v>733</v>
      </c>
      <c r="H61" s="109" t="s">
        <v>809</v>
      </c>
      <c r="I61" s="109"/>
      <c r="J61" s="109"/>
      <c r="K61" s="109"/>
      <c r="L61" s="109"/>
      <c r="M61" s="109"/>
      <c r="N61" s="109"/>
      <c r="O61" s="109"/>
      <c r="P61" s="109"/>
      <c r="Q61" s="109"/>
      <c r="R61" s="109"/>
      <c r="S61" s="109"/>
      <c r="T61" s="109"/>
    </row>
    <row r="62" spans="1:20" ht="26" x14ac:dyDescent="0.35">
      <c r="A62" s="109" t="s">
        <v>469</v>
      </c>
      <c r="B62" s="352">
        <f>DCF!E9</f>
        <v>0.15</v>
      </c>
      <c r="C62" s="352">
        <f>DCF!E6</f>
        <v>9.053558405181325E-2</v>
      </c>
      <c r="D62" s="261">
        <f t="shared" si="1"/>
        <v>5.9464415948186744E-2</v>
      </c>
      <c r="E62" s="109" t="s">
        <v>681</v>
      </c>
      <c r="F62" s="109" t="s">
        <v>734</v>
      </c>
      <c r="G62" s="109" t="s">
        <v>735</v>
      </c>
      <c r="H62" s="109" t="s">
        <v>745</v>
      </c>
      <c r="I62" s="109"/>
      <c r="J62" s="109"/>
      <c r="K62" s="109"/>
      <c r="L62" s="109"/>
      <c r="M62" s="109"/>
      <c r="N62" s="109"/>
      <c r="O62" s="109"/>
      <c r="P62" s="109"/>
      <c r="Q62" s="109"/>
      <c r="R62" s="109"/>
      <c r="S62" s="109"/>
      <c r="T62" s="109"/>
    </row>
    <row r="63" spans="1:20" ht="26" x14ac:dyDescent="0.35">
      <c r="A63" s="109" t="s">
        <v>736</v>
      </c>
      <c r="B63" s="352">
        <f>DCF!S42</f>
        <v>0.16666666666666663</v>
      </c>
      <c r="C63" s="352">
        <f>DCF!E7/DCF!E9</f>
        <v>0.16666666666666669</v>
      </c>
      <c r="D63" s="261">
        <f t="shared" si="1"/>
        <v>0</v>
      </c>
      <c r="E63" s="109" t="s">
        <v>681</v>
      </c>
      <c r="F63" s="109" t="s">
        <v>737</v>
      </c>
      <c r="G63" s="109" t="s">
        <v>738</v>
      </c>
      <c r="H63" s="109" t="s">
        <v>746</v>
      </c>
      <c r="I63" s="109"/>
      <c r="J63" s="109"/>
      <c r="K63" s="109"/>
      <c r="L63" s="109"/>
      <c r="M63" s="109"/>
      <c r="N63" s="109"/>
      <c r="O63" s="109"/>
      <c r="P63" s="109"/>
      <c r="Q63" s="109"/>
      <c r="R63" s="109"/>
      <c r="S63" s="109"/>
      <c r="T63" s="109"/>
    </row>
    <row r="64" spans="1:20" ht="26" x14ac:dyDescent="0.35">
      <c r="A64" s="109" t="s">
        <v>739</v>
      </c>
      <c r="B64" s="353">
        <f>'Valuation Sensitivities'!C45</f>
        <v>454924.49686513108</v>
      </c>
      <c r="C64" s="353">
        <f>DCF!E39</f>
        <v>312947.83106719214</v>
      </c>
      <c r="D64" s="262">
        <f t="shared" si="1"/>
        <v>141976.66579793894</v>
      </c>
      <c r="E64" s="109" t="s">
        <v>677</v>
      </c>
      <c r="F64" s="109" t="s">
        <v>740</v>
      </c>
      <c r="G64" s="109" t="s">
        <v>741</v>
      </c>
      <c r="H64" s="109" t="s">
        <v>747</v>
      </c>
      <c r="I64" s="109"/>
      <c r="J64" s="109"/>
      <c r="K64" s="109"/>
      <c r="L64" s="109"/>
      <c r="M64" s="109"/>
      <c r="N64" s="109"/>
      <c r="O64" s="109"/>
      <c r="P64" s="109"/>
      <c r="Q64" s="109"/>
      <c r="R64" s="109"/>
      <c r="S64" s="109"/>
      <c r="T64" s="109"/>
    </row>
    <row r="65" spans="1:20" ht="38.5" x14ac:dyDescent="0.35">
      <c r="A65" s="109" t="s">
        <v>742</v>
      </c>
      <c r="B65" s="352">
        <f>'Valuation Sensitivities'!C47</f>
        <v>0.68004114951194317</v>
      </c>
      <c r="C65" s="352">
        <f>DCF!S38</f>
        <v>0.46780818408927222</v>
      </c>
      <c r="D65" s="261">
        <f t="shared" si="1"/>
        <v>0.21223296542267095</v>
      </c>
      <c r="E65" s="109" t="s">
        <v>681</v>
      </c>
      <c r="F65" s="109" t="s">
        <v>743</v>
      </c>
      <c r="G65" s="109" t="s">
        <v>744</v>
      </c>
      <c r="H65" s="109" t="s">
        <v>748</v>
      </c>
      <c r="I65" s="109"/>
      <c r="J65" s="109"/>
      <c r="K65" s="109"/>
      <c r="L65" s="109"/>
      <c r="M65" s="109"/>
      <c r="N65" s="109"/>
      <c r="O65" s="109"/>
      <c r="P65" s="109"/>
      <c r="Q65" s="109"/>
      <c r="R65" s="109"/>
      <c r="S65" s="109"/>
      <c r="T65" s="109"/>
    </row>
    <row r="66" spans="1:20" x14ac:dyDescent="0.35">
      <c r="A66" s="109"/>
      <c r="B66" s="109"/>
      <c r="C66" s="109"/>
      <c r="D66" s="109"/>
      <c r="E66" s="109"/>
      <c r="F66" s="109"/>
      <c r="G66" s="109"/>
      <c r="H66" s="109"/>
      <c r="I66" s="109"/>
      <c r="J66" s="109"/>
      <c r="K66" s="109"/>
      <c r="L66" s="109"/>
      <c r="M66" s="109"/>
      <c r="N66" s="109"/>
      <c r="O66" s="109"/>
      <c r="P66" s="109"/>
      <c r="Q66" s="109"/>
      <c r="R66" s="109"/>
      <c r="S66" s="109"/>
      <c r="T66" s="109"/>
    </row>
    <row r="67" spans="1:20" x14ac:dyDescent="0.35">
      <c r="A67" s="109"/>
      <c r="B67" s="109"/>
      <c r="C67" s="109"/>
      <c r="D67" s="109"/>
      <c r="E67" s="109"/>
      <c r="F67" s="109"/>
      <c r="G67" s="109"/>
      <c r="H67" s="109"/>
      <c r="I67" s="109"/>
      <c r="J67" s="109"/>
      <c r="K67" s="109"/>
      <c r="L67" s="109"/>
      <c r="M67" s="109"/>
      <c r="N67" s="109"/>
      <c r="O67" s="109"/>
      <c r="P67" s="109"/>
      <c r="Q67" s="109"/>
      <c r="R67" s="109"/>
      <c r="S67" s="109"/>
      <c r="T67" s="109"/>
    </row>
    <row r="68" spans="1:20" x14ac:dyDescent="0.35">
      <c r="A68" s="382" t="s">
        <v>749</v>
      </c>
      <c r="B68" s="382"/>
      <c r="C68" s="382"/>
      <c r="D68" s="382"/>
      <c r="E68" s="382"/>
      <c r="F68" s="382"/>
      <c r="G68" s="382"/>
      <c r="H68" s="382"/>
      <c r="I68" s="382"/>
      <c r="J68" s="382"/>
      <c r="K68" s="382"/>
      <c r="L68" s="382"/>
      <c r="M68" s="382"/>
      <c r="N68" s="382"/>
      <c r="O68" s="382"/>
      <c r="P68" s="382"/>
      <c r="Q68" s="382"/>
      <c r="R68" s="382"/>
      <c r="S68" s="382"/>
      <c r="T68" s="382"/>
    </row>
    <row r="69" spans="1:20" x14ac:dyDescent="0.35">
      <c r="A69" s="356" t="s">
        <v>750</v>
      </c>
      <c r="B69" s="356"/>
      <c r="C69" s="356"/>
      <c r="D69" s="356"/>
      <c r="E69" s="356"/>
      <c r="F69" s="356"/>
      <c r="G69" s="356"/>
      <c r="H69" s="356"/>
      <c r="I69" s="356"/>
      <c r="J69" s="356"/>
      <c r="K69" s="356"/>
      <c r="L69" s="356"/>
      <c r="M69" s="356"/>
      <c r="N69" s="356"/>
      <c r="O69" s="356"/>
      <c r="P69" s="356"/>
      <c r="Q69" s="356"/>
      <c r="R69" s="356"/>
      <c r="S69" s="356"/>
      <c r="T69" s="356"/>
    </row>
    <row r="70" spans="1:20" x14ac:dyDescent="0.35">
      <c r="A70" s="356"/>
      <c r="B70" s="356"/>
      <c r="C70" s="356"/>
      <c r="D70" s="356"/>
      <c r="E70" s="356"/>
      <c r="F70" s="356"/>
      <c r="G70" s="356"/>
      <c r="H70" s="356"/>
      <c r="I70" s="356"/>
      <c r="J70" s="356"/>
      <c r="K70" s="356"/>
      <c r="L70" s="356"/>
      <c r="M70" s="356"/>
      <c r="N70" s="356"/>
      <c r="O70" s="356"/>
      <c r="P70" s="356"/>
      <c r="Q70" s="356"/>
      <c r="R70" s="356"/>
      <c r="S70" s="356"/>
      <c r="T70" s="356"/>
    </row>
    <row r="71" spans="1:20" x14ac:dyDescent="0.35">
      <c r="A71" s="356" t="s">
        <v>751</v>
      </c>
      <c r="B71" s="356"/>
      <c r="C71" s="356"/>
      <c r="D71" s="356"/>
      <c r="E71" s="356"/>
      <c r="F71" s="356"/>
      <c r="G71" s="356"/>
      <c r="H71" s="356"/>
      <c r="I71" s="356"/>
      <c r="J71" s="356"/>
      <c r="K71" s="356"/>
      <c r="L71" s="356"/>
      <c r="M71" s="356"/>
      <c r="N71" s="356"/>
      <c r="O71" s="356"/>
      <c r="P71" s="356"/>
      <c r="Q71" s="356"/>
      <c r="R71" s="356"/>
      <c r="S71" s="356"/>
      <c r="T71" s="356"/>
    </row>
    <row r="72" spans="1:20" x14ac:dyDescent="0.35">
      <c r="A72" s="356"/>
      <c r="B72" s="356"/>
      <c r="C72" s="356"/>
      <c r="D72" s="356"/>
      <c r="E72" s="356"/>
      <c r="F72" s="356"/>
      <c r="G72" s="356"/>
      <c r="H72" s="356"/>
      <c r="I72" s="356"/>
      <c r="J72" s="356"/>
      <c r="K72" s="356"/>
      <c r="L72" s="356"/>
      <c r="M72" s="356"/>
      <c r="N72" s="356"/>
      <c r="O72" s="356"/>
      <c r="P72" s="356"/>
      <c r="Q72" s="356"/>
      <c r="R72" s="356"/>
      <c r="S72" s="356"/>
      <c r="T72" s="356"/>
    </row>
    <row r="73" spans="1:20" x14ac:dyDescent="0.35">
      <c r="A73" s="356" t="s">
        <v>752</v>
      </c>
      <c r="B73" s="356"/>
      <c r="C73" s="356"/>
      <c r="D73" s="356"/>
      <c r="E73" s="356"/>
      <c r="F73" s="356"/>
      <c r="G73" s="356"/>
      <c r="H73" s="356"/>
      <c r="I73" s="356"/>
      <c r="J73" s="356"/>
      <c r="K73" s="356"/>
      <c r="L73" s="356"/>
      <c r="M73" s="356"/>
      <c r="N73" s="356"/>
      <c r="O73" s="356"/>
      <c r="P73" s="356"/>
      <c r="Q73" s="356"/>
      <c r="R73" s="356"/>
      <c r="S73" s="356"/>
      <c r="T73" s="356"/>
    </row>
    <row r="74" spans="1:20" x14ac:dyDescent="0.35">
      <c r="A74" s="356"/>
      <c r="B74" s="356"/>
      <c r="C74" s="356"/>
      <c r="D74" s="356"/>
      <c r="E74" s="356"/>
      <c r="F74" s="356"/>
      <c r="G74" s="356"/>
      <c r="H74" s="356"/>
      <c r="I74" s="356"/>
      <c r="J74" s="356"/>
      <c r="K74" s="356"/>
      <c r="L74" s="356"/>
      <c r="M74" s="356"/>
      <c r="N74" s="356"/>
      <c r="O74" s="356"/>
      <c r="P74" s="356"/>
      <c r="Q74" s="356"/>
      <c r="R74" s="356"/>
      <c r="S74" s="356"/>
      <c r="T74" s="356"/>
    </row>
    <row r="75" spans="1:20" x14ac:dyDescent="0.35">
      <c r="A75" s="356" t="s">
        <v>753</v>
      </c>
      <c r="B75" s="356"/>
      <c r="C75" s="356"/>
      <c r="D75" s="356"/>
      <c r="E75" s="356"/>
      <c r="F75" s="356"/>
      <c r="G75" s="356"/>
      <c r="H75" s="356"/>
      <c r="I75" s="356"/>
      <c r="J75" s="356"/>
      <c r="K75" s="356"/>
      <c r="L75" s="356"/>
      <c r="M75" s="356"/>
      <c r="N75" s="356"/>
      <c r="O75" s="356"/>
      <c r="P75" s="356"/>
      <c r="Q75" s="356"/>
      <c r="R75" s="356"/>
      <c r="S75" s="356"/>
      <c r="T75" s="356"/>
    </row>
    <row r="76" spans="1:20" x14ac:dyDescent="0.35">
      <c r="A76" s="356"/>
      <c r="B76" s="356"/>
      <c r="C76" s="356"/>
      <c r="D76" s="356"/>
      <c r="E76" s="356"/>
      <c r="F76" s="356"/>
      <c r="G76" s="356"/>
      <c r="H76" s="356"/>
      <c r="I76" s="356"/>
      <c r="J76" s="356"/>
      <c r="K76" s="356"/>
      <c r="L76" s="356"/>
      <c r="M76" s="356"/>
      <c r="N76" s="356"/>
      <c r="O76" s="356"/>
      <c r="P76" s="356"/>
      <c r="Q76" s="356"/>
      <c r="R76" s="356"/>
      <c r="S76" s="356"/>
      <c r="T76" s="356"/>
    </row>
    <row r="77" spans="1:20" x14ac:dyDescent="0.35">
      <c r="A77" s="356"/>
      <c r="B77" s="356"/>
      <c r="C77" s="356"/>
      <c r="D77" s="356"/>
      <c r="E77" s="356"/>
      <c r="F77" s="356"/>
      <c r="G77" s="356"/>
      <c r="H77" s="356"/>
      <c r="I77" s="356"/>
      <c r="J77" s="356"/>
      <c r="K77" s="356"/>
      <c r="L77" s="356"/>
      <c r="M77" s="356"/>
      <c r="N77" s="356"/>
      <c r="O77" s="356"/>
      <c r="P77" s="356"/>
      <c r="Q77" s="356"/>
      <c r="R77" s="356"/>
      <c r="S77" s="356"/>
      <c r="T77" s="356"/>
    </row>
    <row r="79" spans="1:20" x14ac:dyDescent="0.35">
      <c r="A79" s="382" t="s">
        <v>829</v>
      </c>
      <c r="B79" s="382"/>
      <c r="C79" s="382"/>
      <c r="D79" s="382"/>
      <c r="E79" s="382"/>
      <c r="F79" s="382"/>
      <c r="G79" s="382"/>
      <c r="H79" s="382"/>
      <c r="I79" s="382"/>
      <c r="J79" s="382"/>
      <c r="K79" s="382"/>
      <c r="L79" s="382"/>
      <c r="M79" s="382"/>
      <c r="N79" s="382"/>
      <c r="O79" s="382"/>
      <c r="P79" s="382"/>
      <c r="Q79" s="382"/>
      <c r="R79" s="382"/>
      <c r="S79" s="382"/>
      <c r="T79" s="382"/>
    </row>
    <row r="80" spans="1:20" x14ac:dyDescent="0.35">
      <c r="A80" s="248" t="s">
        <v>754</v>
      </c>
      <c r="B80" s="248" t="s">
        <v>755</v>
      </c>
      <c r="C80" s="248" t="s">
        <v>301</v>
      </c>
      <c r="D80" s="248" t="s">
        <v>756</v>
      </c>
      <c r="E80" s="248" t="s">
        <v>757</v>
      </c>
      <c r="F80" s="248" t="s">
        <v>758</v>
      </c>
      <c r="G80" s="248" t="s">
        <v>759</v>
      </c>
      <c r="H80" s="248" t="s">
        <v>620</v>
      </c>
      <c r="I80" s="109"/>
      <c r="J80" s="109"/>
      <c r="K80" s="109"/>
      <c r="L80" s="109"/>
      <c r="M80" s="109"/>
      <c r="N80" s="109"/>
      <c r="O80" s="109"/>
      <c r="P80" s="109"/>
      <c r="Q80" s="109"/>
      <c r="R80" s="109"/>
      <c r="S80" s="109"/>
      <c r="T80" s="109"/>
    </row>
    <row r="81" spans="1:20" ht="26" x14ac:dyDescent="0.35">
      <c r="A81" s="109" t="s">
        <v>760</v>
      </c>
      <c r="B81" s="354">
        <f>'Valuation Sensitivities'!F17</f>
        <v>369.06085775663161</v>
      </c>
      <c r="C81" s="354">
        <f>'Valuation Sensitivities'!F16</f>
        <v>403.26434317389527</v>
      </c>
      <c r="D81" s="354">
        <f>'Valuation Sensitivities'!F15</f>
        <v>443.370230829501</v>
      </c>
      <c r="E81" s="263">
        <f>B81-C81</f>
        <v>-34.203485417263664</v>
      </c>
      <c r="F81" s="263">
        <f>D81-C81</f>
        <v>40.105887655605727</v>
      </c>
      <c r="G81" s="263">
        <f>D81-B81</f>
        <v>74.309373072869391</v>
      </c>
      <c r="H81" s="109" t="s">
        <v>764</v>
      </c>
      <c r="I81" s="109"/>
      <c r="J81" s="109"/>
      <c r="K81" s="109"/>
      <c r="L81" s="109"/>
      <c r="M81" s="109"/>
      <c r="N81" s="109"/>
      <c r="O81" s="109"/>
      <c r="P81" s="109"/>
      <c r="Q81" s="109"/>
      <c r="R81" s="109"/>
      <c r="S81" s="109"/>
      <c r="T81" s="109"/>
    </row>
    <row r="82" spans="1:20" ht="26" x14ac:dyDescent="0.35">
      <c r="A82" s="109" t="s">
        <v>761</v>
      </c>
      <c r="B82" s="354">
        <f>'Valuation Sensitivities'!E25</f>
        <v>392.41466415479664</v>
      </c>
      <c r="C82" s="354">
        <f>'Valuation Sensitivities'!F25</f>
        <v>403.26434317389527</v>
      </c>
      <c r="D82" s="354">
        <f>'Valuation Sensitivities'!G25</f>
        <v>415.78704466865088</v>
      </c>
      <c r="E82" s="263">
        <f>B82-C82</f>
        <v>-10.84967901909863</v>
      </c>
      <c r="F82" s="263">
        <f>D82-C82</f>
        <v>12.522701494755609</v>
      </c>
      <c r="G82" s="263">
        <f>D82-B82</f>
        <v>23.372380513854239</v>
      </c>
      <c r="H82" s="109" t="s">
        <v>765</v>
      </c>
      <c r="I82" s="109"/>
      <c r="J82" s="109"/>
      <c r="K82" s="109"/>
      <c r="L82" s="109"/>
      <c r="M82" s="109"/>
      <c r="N82" s="109"/>
      <c r="O82" s="109"/>
      <c r="P82" s="109"/>
      <c r="Q82" s="109"/>
      <c r="R82" s="109"/>
      <c r="S82" s="109"/>
      <c r="T82" s="109"/>
    </row>
    <row r="83" spans="1:20" ht="26" x14ac:dyDescent="0.35">
      <c r="A83" s="109" t="s">
        <v>762</v>
      </c>
      <c r="B83" s="354">
        <f>'Valuation Sensitivities'!E16</f>
        <v>389.15009795173904</v>
      </c>
      <c r="C83" s="354">
        <f>'Valuation Sensitivities'!F16</f>
        <v>403.26434317389527</v>
      </c>
      <c r="D83" s="354">
        <f>'Valuation Sensitivities'!G16</f>
        <v>412.6738399886662</v>
      </c>
      <c r="E83" s="263">
        <f>B83-C83</f>
        <v>-14.114245222156228</v>
      </c>
      <c r="F83" s="263">
        <f>D83-C83</f>
        <v>9.4094968147709324</v>
      </c>
      <c r="G83" s="263">
        <f>D83-B83</f>
        <v>23.52374203692716</v>
      </c>
      <c r="H83" s="109" t="s">
        <v>766</v>
      </c>
      <c r="I83" s="109"/>
      <c r="J83" s="109"/>
      <c r="K83" s="109"/>
      <c r="L83" s="109"/>
      <c r="M83" s="109"/>
      <c r="N83" s="109"/>
      <c r="O83" s="109"/>
      <c r="P83" s="109"/>
      <c r="Q83" s="109"/>
      <c r="R83" s="109"/>
      <c r="S83" s="109"/>
      <c r="T83" s="109"/>
    </row>
    <row r="84" spans="1:20" ht="26" x14ac:dyDescent="0.35">
      <c r="A84" s="109" t="s">
        <v>763</v>
      </c>
      <c r="B84" s="354">
        <f>'Valuation Sensitivities'!G56</f>
        <v>398.69192622698711</v>
      </c>
      <c r="C84" s="354">
        <f>'Valuation Sensitivities'!F56</f>
        <v>403.26434317389527</v>
      </c>
      <c r="D84" s="354">
        <f>'Valuation Sensitivities'!E56</f>
        <v>407.83676012080343</v>
      </c>
      <c r="E84" s="263">
        <f>B84-C84</f>
        <v>-4.572416946908163</v>
      </c>
      <c r="F84" s="263">
        <f>D84-C84</f>
        <v>4.572416946908163</v>
      </c>
      <c r="G84" s="263">
        <f>D84-B84</f>
        <v>9.1448338938163261</v>
      </c>
      <c r="H84" s="109" t="s">
        <v>767</v>
      </c>
      <c r="I84" s="109"/>
      <c r="J84" s="109"/>
      <c r="K84" s="109"/>
      <c r="L84" s="109"/>
      <c r="M84" s="109"/>
      <c r="N84" s="109"/>
      <c r="O84" s="109"/>
      <c r="P84" s="109"/>
      <c r="Q84" s="109"/>
      <c r="R84" s="109"/>
      <c r="S84" s="109"/>
      <c r="T84" s="109"/>
    </row>
    <row r="85" spans="1:20" x14ac:dyDescent="0.35">
      <c r="A85" s="109"/>
      <c r="B85" s="109"/>
      <c r="C85" s="109"/>
      <c r="D85" s="109"/>
      <c r="E85" s="109"/>
      <c r="F85" s="109"/>
      <c r="G85" s="109"/>
      <c r="H85" s="109"/>
      <c r="I85" s="109"/>
      <c r="J85" s="109"/>
      <c r="K85" s="109"/>
      <c r="L85" s="109"/>
      <c r="M85" s="109"/>
      <c r="N85" s="109"/>
      <c r="O85" s="109"/>
      <c r="P85" s="109"/>
      <c r="Q85" s="109"/>
      <c r="R85" s="109"/>
      <c r="S85" s="109"/>
      <c r="T85" s="109"/>
    </row>
    <row r="86" spans="1:20" x14ac:dyDescent="0.35">
      <c r="A86" s="109"/>
      <c r="B86" s="109"/>
      <c r="C86" s="109"/>
      <c r="D86" s="109"/>
      <c r="E86" s="109"/>
      <c r="F86" s="109"/>
      <c r="G86" s="109"/>
      <c r="H86" s="109"/>
      <c r="I86" s="109"/>
      <c r="J86" s="109"/>
      <c r="K86" s="109"/>
      <c r="L86" s="109"/>
      <c r="M86" s="109"/>
      <c r="N86" s="109"/>
      <c r="O86" s="109"/>
      <c r="P86" s="109"/>
      <c r="Q86" s="109"/>
      <c r="R86" s="109"/>
      <c r="S86" s="109"/>
      <c r="T86" s="109"/>
    </row>
    <row r="87" spans="1:20" ht="26.5" x14ac:dyDescent="0.35">
      <c r="A87" s="248" t="s">
        <v>768</v>
      </c>
      <c r="B87" s="248" t="s">
        <v>769</v>
      </c>
      <c r="C87" s="248" t="s">
        <v>770</v>
      </c>
      <c r="D87" s="248" t="s">
        <v>771</v>
      </c>
      <c r="E87" s="248" t="s">
        <v>772</v>
      </c>
      <c r="F87" s="248" t="s">
        <v>773</v>
      </c>
      <c r="G87" s="248" t="s">
        <v>619</v>
      </c>
      <c r="H87" s="248" t="s">
        <v>491</v>
      </c>
      <c r="I87" s="109"/>
      <c r="J87" s="109"/>
      <c r="K87" s="109"/>
      <c r="L87" s="109"/>
      <c r="M87" s="109"/>
      <c r="N87" s="109"/>
      <c r="O87" s="109"/>
      <c r="P87" s="109"/>
      <c r="Q87" s="109"/>
      <c r="R87" s="109"/>
      <c r="S87" s="109"/>
      <c r="T87" s="109"/>
    </row>
    <row r="88" spans="1:20" ht="38.5" x14ac:dyDescent="0.35">
      <c r="A88" s="109" t="s">
        <v>632</v>
      </c>
      <c r="B88" s="40"/>
      <c r="C88" s="249"/>
      <c r="D88" s="249"/>
      <c r="E88" s="109" t="s">
        <v>830</v>
      </c>
      <c r="F88" s="109" t="s">
        <v>831</v>
      </c>
      <c r="G88" s="109" t="s">
        <v>832</v>
      </c>
      <c r="H88" s="109" t="s">
        <v>833</v>
      </c>
      <c r="I88" s="109"/>
      <c r="J88" s="109"/>
      <c r="K88" s="109"/>
      <c r="L88" s="109"/>
      <c r="M88" s="109"/>
      <c r="N88" s="109"/>
      <c r="O88" s="109"/>
      <c r="P88" s="109"/>
      <c r="Q88" s="109"/>
      <c r="R88" s="109"/>
      <c r="S88" s="109"/>
      <c r="T88" s="109"/>
    </row>
    <row r="89" spans="1:20" ht="51" x14ac:dyDescent="0.35">
      <c r="A89" s="109" t="s">
        <v>607</v>
      </c>
      <c r="B89" s="263">
        <f>F21</f>
        <v>506.60636196934075</v>
      </c>
      <c r="C89" s="352">
        <f>B89/DCF!$E$55-1</f>
        <v>0.25626371521491653</v>
      </c>
      <c r="D89" s="352">
        <f>B89/DCF!$E$13-1</f>
        <v>-4.6531605651213503E-2</v>
      </c>
      <c r="E89" s="109" t="s">
        <v>834</v>
      </c>
      <c r="F89" s="109" t="s">
        <v>835</v>
      </c>
      <c r="G89" s="109" t="s">
        <v>836</v>
      </c>
      <c r="H89" s="109" t="s">
        <v>837</v>
      </c>
      <c r="I89" s="109"/>
      <c r="J89" s="109"/>
      <c r="K89" s="109"/>
      <c r="L89" s="109"/>
      <c r="M89" s="109"/>
      <c r="N89" s="109"/>
      <c r="O89" s="109"/>
      <c r="P89" s="109"/>
      <c r="Q89" s="109"/>
      <c r="R89" s="109"/>
      <c r="S89" s="109"/>
      <c r="T89" s="109"/>
    </row>
    <row r="90" spans="1:20" ht="51" x14ac:dyDescent="0.35">
      <c r="A90" s="109" t="s">
        <v>633</v>
      </c>
      <c r="B90" s="40"/>
      <c r="C90" s="249"/>
      <c r="D90" s="249"/>
      <c r="E90" s="109" t="s">
        <v>830</v>
      </c>
      <c r="F90" s="109" t="s">
        <v>838</v>
      </c>
      <c r="G90" s="109" t="s">
        <v>839</v>
      </c>
      <c r="H90" s="109" t="s">
        <v>833</v>
      </c>
      <c r="I90" s="109"/>
      <c r="J90" s="109"/>
      <c r="K90" s="109"/>
      <c r="L90" s="109"/>
      <c r="M90" s="109"/>
      <c r="N90" s="109"/>
      <c r="O90" s="109"/>
      <c r="P90" s="109"/>
      <c r="Q90" s="109"/>
      <c r="R90" s="109"/>
      <c r="S90" s="109"/>
      <c r="T90" s="109"/>
    </row>
    <row r="91" spans="1:20" ht="38.5" x14ac:dyDescent="0.35">
      <c r="A91" s="109" t="s">
        <v>634</v>
      </c>
      <c r="B91" s="40"/>
      <c r="C91" s="249"/>
      <c r="D91" s="249"/>
      <c r="E91" s="109" t="s">
        <v>840</v>
      </c>
      <c r="F91" s="109" t="s">
        <v>841</v>
      </c>
      <c r="G91" s="109" t="s">
        <v>842</v>
      </c>
      <c r="H91" s="109" t="s">
        <v>816</v>
      </c>
      <c r="I91" s="109"/>
      <c r="J91" s="109"/>
      <c r="K91" s="109"/>
      <c r="L91" s="109"/>
      <c r="M91" s="109"/>
      <c r="N91" s="109"/>
      <c r="O91" s="109"/>
      <c r="P91" s="109"/>
      <c r="Q91" s="109"/>
      <c r="R91" s="109"/>
      <c r="S91" s="109"/>
      <c r="T91" s="109"/>
    </row>
    <row r="92" spans="1:20" x14ac:dyDescent="0.35">
      <c r="A92" s="109"/>
      <c r="B92" s="109"/>
      <c r="C92" s="109"/>
      <c r="D92" s="109"/>
      <c r="E92" s="109"/>
      <c r="F92" s="109"/>
      <c r="G92" s="109"/>
      <c r="H92" s="109"/>
      <c r="I92" s="109"/>
      <c r="J92" s="109"/>
      <c r="K92" s="109"/>
      <c r="L92" s="109"/>
      <c r="M92" s="109"/>
      <c r="N92" s="109"/>
      <c r="O92" s="109"/>
      <c r="P92" s="109"/>
      <c r="Q92" s="109"/>
      <c r="R92" s="109"/>
      <c r="S92" s="109"/>
      <c r="T92" s="109"/>
    </row>
    <row r="93" spans="1:20" x14ac:dyDescent="0.35">
      <c r="A93" s="109"/>
      <c r="B93" s="109"/>
      <c r="C93" s="109"/>
      <c r="D93" s="109"/>
      <c r="E93" s="109"/>
      <c r="F93" s="109"/>
      <c r="G93" s="109"/>
      <c r="H93" s="109"/>
      <c r="I93" s="109"/>
      <c r="J93" s="109"/>
      <c r="K93" s="109"/>
      <c r="L93" s="109"/>
      <c r="M93" s="109"/>
      <c r="N93" s="109"/>
      <c r="O93" s="109"/>
      <c r="P93" s="109"/>
      <c r="Q93" s="109"/>
      <c r="R93" s="109"/>
      <c r="S93" s="109"/>
      <c r="T93" s="109"/>
    </row>
    <row r="94" spans="1:20" ht="39.5" x14ac:dyDescent="0.35">
      <c r="A94" s="248" t="s">
        <v>774</v>
      </c>
      <c r="B94" s="248" t="s">
        <v>697</v>
      </c>
      <c r="C94" s="248" t="s">
        <v>775</v>
      </c>
      <c r="D94" s="248" t="s">
        <v>776</v>
      </c>
      <c r="E94" s="248" t="s">
        <v>777</v>
      </c>
      <c r="F94" s="248" t="s">
        <v>778</v>
      </c>
      <c r="G94" s="248" t="s">
        <v>779</v>
      </c>
      <c r="H94" s="248" t="s">
        <v>491</v>
      </c>
      <c r="I94" s="109"/>
      <c r="J94" s="109"/>
      <c r="K94" s="109"/>
      <c r="L94" s="109"/>
      <c r="M94" s="109"/>
      <c r="N94" s="109"/>
      <c r="O94" s="109"/>
      <c r="P94" s="109"/>
      <c r="Q94" s="109"/>
      <c r="R94" s="109"/>
      <c r="S94" s="109"/>
      <c r="T94" s="109"/>
    </row>
    <row r="95" spans="1:20" ht="88.5" x14ac:dyDescent="0.35">
      <c r="A95" s="109" t="s">
        <v>780</v>
      </c>
      <c r="B95" s="109" t="s">
        <v>784</v>
      </c>
      <c r="C95" s="109" t="s">
        <v>785</v>
      </c>
      <c r="D95" s="109" t="s">
        <v>789</v>
      </c>
      <c r="E95" s="109" t="s">
        <v>790</v>
      </c>
      <c r="F95" s="109" t="s">
        <v>791</v>
      </c>
      <c r="G95" s="109" t="s">
        <v>792</v>
      </c>
      <c r="H95" s="109" t="s">
        <v>793</v>
      </c>
      <c r="I95" s="109"/>
      <c r="J95" s="109"/>
      <c r="K95" s="109"/>
      <c r="L95" s="109"/>
      <c r="M95" s="109"/>
      <c r="N95" s="109"/>
      <c r="O95" s="109"/>
      <c r="P95" s="109"/>
      <c r="Q95" s="109"/>
      <c r="R95" s="109"/>
      <c r="S95" s="109"/>
      <c r="T95" s="109"/>
    </row>
    <row r="96" spans="1:20" ht="76" x14ac:dyDescent="0.35">
      <c r="A96" s="109" t="s">
        <v>781</v>
      </c>
      <c r="B96" s="109" t="s">
        <v>843</v>
      </c>
      <c r="C96" s="109" t="s">
        <v>786</v>
      </c>
      <c r="D96" s="109" t="s">
        <v>794</v>
      </c>
      <c r="E96" s="109" t="s">
        <v>795</v>
      </c>
      <c r="F96" s="109" t="s">
        <v>796</v>
      </c>
      <c r="G96" s="109" t="s">
        <v>797</v>
      </c>
      <c r="H96" s="109" t="s">
        <v>793</v>
      </c>
      <c r="I96" s="109"/>
      <c r="J96" s="109"/>
      <c r="K96" s="109"/>
      <c r="L96" s="109"/>
      <c r="M96" s="109"/>
      <c r="N96" s="109"/>
      <c r="O96" s="109"/>
      <c r="P96" s="109"/>
      <c r="Q96" s="109"/>
      <c r="R96" s="109"/>
      <c r="S96" s="109"/>
      <c r="T96" s="109"/>
    </row>
    <row r="97" spans="1:20" ht="76" x14ac:dyDescent="0.35">
      <c r="A97" s="109" t="s">
        <v>782</v>
      </c>
      <c r="B97" s="109" t="s">
        <v>787</v>
      </c>
      <c r="C97" s="109" t="s">
        <v>788</v>
      </c>
      <c r="D97" s="109" t="s">
        <v>798</v>
      </c>
      <c r="E97" s="109" t="s">
        <v>799</v>
      </c>
      <c r="F97" s="109" t="s">
        <v>800</v>
      </c>
      <c r="G97" s="109" t="s">
        <v>792</v>
      </c>
      <c r="H97" s="109" t="s">
        <v>793</v>
      </c>
      <c r="I97" s="109"/>
      <c r="J97" s="109"/>
      <c r="K97" s="109"/>
      <c r="L97" s="109"/>
      <c r="M97" s="109"/>
      <c r="N97" s="109"/>
      <c r="O97" s="109"/>
      <c r="P97" s="109"/>
      <c r="Q97" s="109"/>
      <c r="R97" s="109"/>
      <c r="S97" s="109"/>
      <c r="T97" s="109"/>
    </row>
    <row r="98" spans="1:20" ht="76" x14ac:dyDescent="0.35">
      <c r="A98" s="109" t="s">
        <v>783</v>
      </c>
      <c r="B98" s="109" t="s">
        <v>844</v>
      </c>
      <c r="C98" s="109" t="s">
        <v>845</v>
      </c>
      <c r="D98" s="109" t="s">
        <v>801</v>
      </c>
      <c r="E98" s="109" t="s">
        <v>802</v>
      </c>
      <c r="F98" s="109" t="s">
        <v>803</v>
      </c>
      <c r="G98" s="109" t="s">
        <v>804</v>
      </c>
      <c r="H98" s="109" t="s">
        <v>793</v>
      </c>
      <c r="I98" s="109"/>
      <c r="J98" s="109"/>
      <c r="K98" s="109"/>
      <c r="L98" s="109"/>
      <c r="M98" s="109"/>
      <c r="N98" s="109"/>
      <c r="O98" s="109"/>
      <c r="P98" s="109"/>
      <c r="Q98" s="109"/>
      <c r="R98" s="109"/>
      <c r="S98" s="109"/>
      <c r="T98" s="109"/>
    </row>
    <row r="99" spans="1:20" x14ac:dyDescent="0.35">
      <c r="A99" s="109"/>
      <c r="B99" s="109"/>
      <c r="C99" s="109"/>
      <c r="D99" s="109"/>
      <c r="E99" s="109"/>
      <c r="F99" s="109"/>
      <c r="G99" s="109"/>
      <c r="H99" s="109"/>
      <c r="I99" s="109"/>
      <c r="J99" s="109"/>
      <c r="K99" s="109"/>
      <c r="L99" s="109"/>
      <c r="M99" s="109"/>
      <c r="N99" s="109"/>
      <c r="O99" s="109"/>
      <c r="P99" s="109"/>
      <c r="Q99" s="109"/>
      <c r="R99" s="109"/>
      <c r="S99" s="109"/>
      <c r="T99" s="109"/>
    </row>
    <row r="100" spans="1:20" x14ac:dyDescent="0.35">
      <c r="A100" s="109"/>
      <c r="B100" s="109"/>
      <c r="C100" s="109"/>
      <c r="D100" s="109"/>
      <c r="E100" s="109"/>
      <c r="F100" s="109"/>
      <c r="G100" s="109"/>
      <c r="H100" s="109"/>
      <c r="I100" s="109"/>
      <c r="J100" s="109"/>
      <c r="K100" s="109"/>
      <c r="L100" s="109"/>
      <c r="M100" s="109"/>
      <c r="N100" s="109"/>
      <c r="O100" s="109"/>
      <c r="P100" s="109"/>
      <c r="Q100" s="109"/>
      <c r="R100" s="109"/>
      <c r="S100" s="109"/>
      <c r="T100" s="109"/>
    </row>
    <row r="101" spans="1:20" x14ac:dyDescent="0.35">
      <c r="A101" s="382" t="s">
        <v>805</v>
      </c>
      <c r="B101" s="382"/>
      <c r="C101" s="382"/>
      <c r="D101" s="382"/>
      <c r="E101" s="382"/>
      <c r="F101" s="382"/>
      <c r="G101" s="382"/>
      <c r="H101" s="382"/>
      <c r="I101" s="382"/>
      <c r="J101" s="382"/>
      <c r="K101" s="382"/>
      <c r="L101" s="382"/>
      <c r="M101" s="382"/>
      <c r="N101" s="382"/>
      <c r="O101" s="382"/>
      <c r="P101" s="382"/>
      <c r="Q101" s="382"/>
      <c r="R101" s="382"/>
      <c r="S101" s="382"/>
      <c r="T101" s="382"/>
    </row>
    <row r="102" spans="1:20" x14ac:dyDescent="0.35">
      <c r="A102" s="356" t="s">
        <v>846</v>
      </c>
      <c r="B102" s="356"/>
      <c r="C102" s="356"/>
      <c r="D102" s="356"/>
      <c r="E102" s="356"/>
      <c r="F102" s="356"/>
      <c r="G102" s="356"/>
      <c r="H102" s="356"/>
      <c r="I102" s="356"/>
      <c r="J102" s="356"/>
      <c r="K102" s="356"/>
      <c r="L102" s="356"/>
      <c r="M102" s="356"/>
      <c r="N102" s="356"/>
      <c r="O102" s="356"/>
      <c r="P102" s="356"/>
      <c r="Q102" s="356"/>
      <c r="R102" s="356"/>
      <c r="S102" s="356"/>
      <c r="T102" s="356"/>
    </row>
    <row r="103" spans="1:20" x14ac:dyDescent="0.35">
      <c r="A103" s="356"/>
      <c r="B103" s="356"/>
      <c r="C103" s="356"/>
      <c r="D103" s="356"/>
      <c r="E103" s="356"/>
      <c r="F103" s="356"/>
      <c r="G103" s="356"/>
      <c r="H103" s="356"/>
      <c r="I103" s="356"/>
      <c r="J103" s="356"/>
      <c r="K103" s="356"/>
      <c r="L103" s="356"/>
      <c r="M103" s="356"/>
      <c r="N103" s="356"/>
      <c r="O103" s="356"/>
      <c r="P103" s="356"/>
      <c r="Q103" s="356"/>
      <c r="R103" s="356"/>
      <c r="S103" s="356"/>
      <c r="T103" s="356"/>
    </row>
    <row r="104" spans="1:20" x14ac:dyDescent="0.35">
      <c r="A104" s="356"/>
      <c r="B104" s="356"/>
      <c r="C104" s="356"/>
      <c r="D104" s="356"/>
      <c r="E104" s="356"/>
      <c r="F104" s="356"/>
      <c r="G104" s="356"/>
      <c r="H104" s="356"/>
      <c r="I104" s="356"/>
      <c r="J104" s="356"/>
      <c r="K104" s="356"/>
      <c r="L104" s="356"/>
      <c r="M104" s="356"/>
      <c r="N104" s="356"/>
      <c r="O104" s="356"/>
      <c r="P104" s="356"/>
      <c r="Q104" s="356"/>
      <c r="R104" s="356"/>
      <c r="S104" s="356"/>
      <c r="T104" s="356"/>
    </row>
    <row r="105" spans="1:20" x14ac:dyDescent="0.35">
      <c r="A105" s="356" t="s">
        <v>806</v>
      </c>
      <c r="B105" s="356"/>
      <c r="C105" s="356"/>
      <c r="D105" s="356"/>
      <c r="E105" s="356"/>
      <c r="F105" s="356"/>
      <c r="G105" s="356"/>
      <c r="H105" s="356"/>
      <c r="I105" s="356"/>
      <c r="J105" s="356"/>
      <c r="K105" s="356"/>
      <c r="L105" s="356"/>
      <c r="M105" s="356"/>
      <c r="N105" s="356"/>
      <c r="O105" s="356"/>
      <c r="P105" s="356"/>
      <c r="Q105" s="356"/>
      <c r="R105" s="356"/>
      <c r="S105" s="356"/>
      <c r="T105" s="356"/>
    </row>
    <row r="106" spans="1:20" x14ac:dyDescent="0.35">
      <c r="A106" s="356"/>
      <c r="B106" s="356"/>
      <c r="C106" s="356"/>
      <c r="D106" s="356"/>
      <c r="E106" s="356"/>
      <c r="F106" s="356"/>
      <c r="G106" s="356"/>
      <c r="H106" s="356"/>
      <c r="I106" s="356"/>
      <c r="J106" s="356"/>
      <c r="K106" s="356"/>
      <c r="L106" s="356"/>
      <c r="M106" s="356"/>
      <c r="N106" s="356"/>
      <c r="O106" s="356"/>
      <c r="P106" s="356"/>
      <c r="Q106" s="356"/>
      <c r="R106" s="356"/>
      <c r="S106" s="356"/>
      <c r="T106" s="356"/>
    </row>
    <row r="107" spans="1:20" x14ac:dyDescent="0.35">
      <c r="A107" s="356"/>
      <c r="B107" s="356"/>
      <c r="C107" s="356"/>
      <c r="D107" s="356"/>
      <c r="E107" s="356"/>
      <c r="F107" s="356"/>
      <c r="G107" s="356"/>
      <c r="H107" s="356"/>
      <c r="I107" s="356"/>
      <c r="J107" s="356"/>
      <c r="K107" s="356"/>
      <c r="L107" s="356"/>
      <c r="M107" s="356"/>
      <c r="N107" s="356"/>
      <c r="O107" s="356"/>
      <c r="P107" s="356"/>
      <c r="Q107" s="356"/>
      <c r="R107" s="356"/>
      <c r="S107" s="356"/>
      <c r="T107" s="356"/>
    </row>
  </sheetData>
  <mergeCells count="19">
    <mergeCell ref="A105:T107"/>
    <mergeCell ref="A71:T72"/>
    <mergeCell ref="A73:T74"/>
    <mergeCell ref="A75:T77"/>
    <mergeCell ref="A79:T79"/>
    <mergeCell ref="A101:T101"/>
    <mergeCell ref="A102:T104"/>
    <mergeCell ref="A69:T70"/>
    <mergeCell ref="A1:T1"/>
    <mergeCell ref="A2:T2"/>
    <mergeCell ref="A40:T40"/>
    <mergeCell ref="A41:T43"/>
    <mergeCell ref="A46:T46"/>
    <mergeCell ref="A47:T47"/>
    <mergeCell ref="A48:T48"/>
    <mergeCell ref="A49:T49"/>
    <mergeCell ref="A50:T50"/>
    <mergeCell ref="A52:T52"/>
    <mergeCell ref="A68:T68"/>
  </mergeCells>
  <pageMargins left="0.7" right="0.7" top="0.75" bottom="0.75" header="0.3" footer="0.3"/>
  <pageSetup scale="25" fitToHeight="0"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B4C5D-77D8-40C8-BB4B-CCBECAB2CD96}">
  <dimension ref="B1:J37"/>
  <sheetViews>
    <sheetView showGridLines="0" workbookViewId="0">
      <selection activeCell="B4" sqref="B4"/>
    </sheetView>
  </sheetViews>
  <sheetFormatPr defaultRowHeight="14.5" x14ac:dyDescent="0.35"/>
  <cols>
    <col min="1" max="1" width="2.6328125" customWidth="1"/>
    <col min="2" max="2" width="35.7265625" bestFit="1" customWidth="1"/>
    <col min="3" max="4" width="2.6328125" customWidth="1"/>
  </cols>
  <sheetData>
    <row r="1" spans="2:10" x14ac:dyDescent="0.35">
      <c r="B1" t="s">
        <v>169</v>
      </c>
      <c r="C1" s="178" t="s">
        <v>170</v>
      </c>
      <c r="J1" s="305" t="str">
        <f>HYPERLINK("#'Cover'!A1","Cover")</f>
        <v>Cover</v>
      </c>
    </row>
    <row r="3" spans="2:10" x14ac:dyDescent="0.35">
      <c r="B3" s="54" t="s">
        <v>171</v>
      </c>
      <c r="E3" s="264" t="str">
        <f>(2021+COLUMN()-COLUMN($D$6))&amp;IF(COLUMN()-COLUMN($D$6)&lt;5,"A","E")</f>
        <v>2022A</v>
      </c>
      <c r="F3" s="264" t="str">
        <f>(2021+COLUMN()-COLUMN($D$6))&amp;IF(COLUMN()-COLUMN($D$6)&lt;5,"A","E")</f>
        <v>2023A</v>
      </c>
      <c r="G3" s="264" t="str">
        <f>(2021+COLUMN()-COLUMN($D$6))&amp;IF(COLUMN()-COLUMN($D$6)&lt;5,"A","E")</f>
        <v>2024A</v>
      </c>
      <c r="H3" s="264" t="str">
        <f>(2021+COLUMN()-COLUMN($D$6))&amp;IF(COLUMN()-COLUMN($D$6)&lt;5,"A","E")</f>
        <v>2025A</v>
      </c>
      <c r="I3" s="264" t="s">
        <v>5</v>
      </c>
    </row>
    <row r="4" spans="2:10" x14ac:dyDescent="0.35">
      <c r="B4" s="296" t="s">
        <v>1116</v>
      </c>
      <c r="E4" s="264"/>
      <c r="F4" s="264"/>
      <c r="G4" s="264"/>
      <c r="H4" s="264"/>
      <c r="I4" s="264"/>
    </row>
    <row r="5" spans="2:10" x14ac:dyDescent="0.35">
      <c r="B5" s="1" t="s">
        <v>172</v>
      </c>
      <c r="D5" s="87"/>
      <c r="E5" s="92">
        <v>2.86E-2</v>
      </c>
      <c r="F5" s="92">
        <v>3.6400000000000002E-2</v>
      </c>
      <c r="G5" s="92">
        <v>4.3799999999999999E-2</v>
      </c>
      <c r="H5" s="92">
        <v>4.41E-2</v>
      </c>
      <c r="I5" s="92">
        <v>0.05</v>
      </c>
    </row>
    <row r="6" spans="2:10" x14ac:dyDescent="0.35">
      <c r="B6" s="1" t="s">
        <v>173</v>
      </c>
      <c r="D6" s="87"/>
      <c r="E6" s="92">
        <v>5.0700000000000002E-2</v>
      </c>
      <c r="F6" s="92">
        <v>5.2499999999999998E-2</v>
      </c>
      <c r="G6" s="92">
        <v>4.2700000000000002E-2</v>
      </c>
      <c r="H6" s="92">
        <v>4.2299999999999997E-2</v>
      </c>
      <c r="I6" s="92">
        <v>3.6999999999999998E-2</v>
      </c>
    </row>
    <row r="7" spans="2:10" x14ac:dyDescent="0.35">
      <c r="B7" s="1" t="s">
        <v>174</v>
      </c>
      <c r="D7" s="95"/>
      <c r="E7" s="41">
        <f>Beta!J20</f>
        <v>0.93306409460711426</v>
      </c>
      <c r="F7" s="41">
        <f>Beta!J40</f>
        <v>0.91546112835188109</v>
      </c>
      <c r="G7" s="41">
        <f>Beta!J60</f>
        <v>0.89579018468426841</v>
      </c>
      <c r="H7" s="41">
        <f>Beta!J79</f>
        <v>1.037961036806397</v>
      </c>
      <c r="I7" s="41">
        <f>Beta!J99</f>
        <v>1.132558866996235</v>
      </c>
    </row>
    <row r="8" spans="2:10" x14ac:dyDescent="0.35">
      <c r="B8" s="54" t="s">
        <v>175</v>
      </c>
      <c r="D8" s="95"/>
      <c r="E8" s="19">
        <f>E5+E6*E7</f>
        <v>7.5906349596580686E-2</v>
      </c>
      <c r="F8" s="19">
        <f>F5+F6*F7</f>
        <v>8.4461709238473764E-2</v>
      </c>
      <c r="G8" s="19">
        <f>G5+G6*G7</f>
        <v>8.2050240886018255E-2</v>
      </c>
      <c r="H8" s="19">
        <f>H5+H6*H7</f>
        <v>8.8005751856910591E-2</v>
      </c>
      <c r="I8" s="19">
        <f>I5+I6*I7</f>
        <v>9.1904678078860685E-2</v>
      </c>
    </row>
    <row r="10" spans="2:10" x14ac:dyDescent="0.35">
      <c r="B10" s="1" t="s">
        <v>176</v>
      </c>
      <c r="D10" s="95"/>
      <c r="E10" s="277" vm="1">
        <f t="array" aca="1" ref="E10" ca="1">_xlfn.STOCKHISTORY("MSFT",DATE(2022,6,30),DATE(2022,6,30),0,0,1)</f>
        <v>256.83</v>
      </c>
      <c r="F10" s="277" vm="2">
        <f t="array" aca="1" ref="F10" ca="1">_xlfn.STOCKHISTORY("MSFT",DATE(2023,6,30),DATE(2023,6,30),0,0,1)</f>
        <v>340.54</v>
      </c>
      <c r="G10" s="277" vm="3">
        <f t="array" aca="1" ref="G10" ca="1">_xlfn.STOCKHISTORY("MSFT",DATE(2024,6,28),DATE(2024,6,28),0,0,1)</f>
        <v>446.95</v>
      </c>
      <c r="H10" s="277" vm="4">
        <f t="array" aca="1" ref="H10" ca="1">_xlfn.STOCKHISTORY("MSFT",DATE(2025,6,30),DATE(2025,6,30),0,0,1)</f>
        <v>497.41</v>
      </c>
      <c r="I10" s="272">
        <v>531.33000000000004</v>
      </c>
    </row>
    <row r="11" spans="2:10" x14ac:dyDescent="0.35">
      <c r="B11" s="1" t="s">
        <v>177</v>
      </c>
      <c r="D11" s="87"/>
      <c r="E11" s="88">
        <v>7464.97</v>
      </c>
      <c r="F11" s="88">
        <v>7429.76</v>
      </c>
      <c r="G11" s="88">
        <v>7433.04</v>
      </c>
      <c r="H11" s="88">
        <v>7433.17</v>
      </c>
      <c r="I11" s="88">
        <v>7425.55</v>
      </c>
    </row>
    <row r="12" spans="2:10" x14ac:dyDescent="0.35">
      <c r="B12" s="55" t="s">
        <v>178</v>
      </c>
      <c r="D12" s="95"/>
      <c r="E12" s="7">
        <f ca="1">E10*E11</f>
        <v>1917228.2450999999</v>
      </c>
      <c r="F12" s="7">
        <f ca="1">F10*F11</f>
        <v>2530130.4704000005</v>
      </c>
      <c r="G12" s="7">
        <f ca="1">G10*G11</f>
        <v>3322197.2280000001</v>
      </c>
      <c r="H12" s="7">
        <f ca="1">H10*H11</f>
        <v>3697333.0897000004</v>
      </c>
      <c r="I12" s="7">
        <f>I10*I11</f>
        <v>3945417.4815000002</v>
      </c>
    </row>
    <row r="14" spans="2:10" x14ac:dyDescent="0.35">
      <c r="B14" t="s">
        <v>91</v>
      </c>
      <c r="D14" s="95"/>
      <c r="E14" s="41">
        <f>'Fin Statement'!E113</f>
        <v>0</v>
      </c>
      <c r="F14" s="41">
        <f>'Fin Statement'!F113</f>
        <v>0</v>
      </c>
      <c r="G14" s="41">
        <f>'Fin Statement'!G113</f>
        <v>6693</v>
      </c>
      <c r="H14" s="41">
        <f>'Fin Statement'!H113</f>
        <v>0</v>
      </c>
      <c r="I14" s="41">
        <f>'Fin Statement'!I113</f>
        <v>0</v>
      </c>
    </row>
    <row r="15" spans="2:10" x14ac:dyDescent="0.35">
      <c r="B15" t="s">
        <v>92</v>
      </c>
      <c r="D15" s="95"/>
      <c r="E15" s="41">
        <f>'Fin Statement'!E114</f>
        <v>2749</v>
      </c>
      <c r="F15" s="41">
        <f>'Fin Statement'!F114</f>
        <v>5247</v>
      </c>
      <c r="G15" s="41">
        <f>'Fin Statement'!G114</f>
        <v>2249</v>
      </c>
      <c r="H15" s="41">
        <f>'Fin Statement'!H114</f>
        <v>2999</v>
      </c>
      <c r="I15" s="41">
        <f>'Fin Statement'!I114</f>
        <v>9227</v>
      </c>
    </row>
    <row r="16" spans="2:10" x14ac:dyDescent="0.35">
      <c r="B16" t="s">
        <v>179</v>
      </c>
      <c r="D16" s="95"/>
      <c r="E16" s="41">
        <f>'Fin Statement'!E120</f>
        <v>47032</v>
      </c>
      <c r="F16" s="41">
        <f>'Fin Statement'!F120</f>
        <v>41990</v>
      </c>
      <c r="G16" s="41">
        <f>'Fin Statement'!G120</f>
        <v>42688</v>
      </c>
      <c r="H16" s="41">
        <f>'Fin Statement'!H120</f>
        <v>40152</v>
      </c>
      <c r="I16" s="41">
        <f>'Fin Statement'!I120</f>
        <v>31067</v>
      </c>
    </row>
    <row r="17" spans="2:10" x14ac:dyDescent="0.35">
      <c r="B17" s="54" t="s">
        <v>510</v>
      </c>
      <c r="D17" s="95"/>
      <c r="E17" s="7">
        <f>E14+E15+E16</f>
        <v>49781</v>
      </c>
      <c r="F17" s="7">
        <f>F14+F15+F16</f>
        <v>47237</v>
      </c>
      <c r="G17" s="7">
        <f>G14+G15+G16</f>
        <v>51630</v>
      </c>
      <c r="H17" s="7">
        <f>H14+H15+H16</f>
        <v>43151</v>
      </c>
      <c r="I17" s="7">
        <f>SUM(I14:I16)+I18</f>
        <v>106888</v>
      </c>
    </row>
    <row r="18" spans="2:10" x14ac:dyDescent="0.35">
      <c r="B18" t="s">
        <v>511</v>
      </c>
      <c r="H18" s="95"/>
      <c r="I18" s="41">
        <f>'3 statement Model'!I293</f>
        <v>66594</v>
      </c>
    </row>
    <row r="19" spans="2:10" x14ac:dyDescent="0.35">
      <c r="B19" t="s">
        <v>180</v>
      </c>
      <c r="D19" s="95"/>
      <c r="E19" s="41">
        <f>'Fin Statement'!E24</f>
        <v>-2063</v>
      </c>
      <c r="F19" s="41">
        <f>'Fin Statement'!F24</f>
        <v>-1968</v>
      </c>
      <c r="G19" s="41">
        <f>'Fin Statement'!G24</f>
        <v>-2935</v>
      </c>
      <c r="H19" s="41">
        <f>'Fin Statement'!H24</f>
        <v>-2385</v>
      </c>
      <c r="I19" s="41">
        <f>'Fin Statement'!I24</f>
        <v>-3051</v>
      </c>
    </row>
    <row r="20" spans="2:10" x14ac:dyDescent="0.35">
      <c r="B20" t="s">
        <v>181</v>
      </c>
      <c r="D20" s="95"/>
      <c r="E20" s="41">
        <f>'Fin Statement'!E27</f>
        <v>83716</v>
      </c>
      <c r="F20" s="41">
        <f>'Fin Statement'!F27</f>
        <v>89311</v>
      </c>
      <c r="G20" s="41">
        <f>'Fin Statement'!G27</f>
        <v>107787</v>
      </c>
      <c r="H20" s="41">
        <f>'Fin Statement'!H27</f>
        <v>123627</v>
      </c>
      <c r="I20" s="41">
        <f>'Fin Statement'!I27</f>
        <v>165934</v>
      </c>
    </row>
    <row r="21" spans="2:10" x14ac:dyDescent="0.35">
      <c r="B21" t="s">
        <v>182</v>
      </c>
      <c r="D21" s="95"/>
      <c r="E21" s="41">
        <f>'Fin Statement'!E28</f>
        <v>10978</v>
      </c>
      <c r="F21" s="41">
        <f>'Fin Statement'!F28</f>
        <v>16950</v>
      </c>
      <c r="G21" s="41">
        <f>'Fin Statement'!G28</f>
        <v>19651</v>
      </c>
      <c r="H21" s="41">
        <f>'Fin Statement'!H28</f>
        <v>21795</v>
      </c>
      <c r="I21" s="41">
        <f>'Fin Statement'!I28</f>
        <v>32185</v>
      </c>
    </row>
    <row r="22" spans="2:10" x14ac:dyDescent="0.35">
      <c r="B22" s="54" t="s">
        <v>602</v>
      </c>
      <c r="D22" s="95"/>
      <c r="E22" s="19">
        <f>E21/E20</f>
        <v>0.13113383343685794</v>
      </c>
      <c r="F22" s="19">
        <f>F21/F20</f>
        <v>0.18978625253328257</v>
      </c>
      <c r="G22" s="19">
        <f>G21/G20</f>
        <v>0.18231326597827197</v>
      </c>
      <c r="H22" s="19">
        <f>H21/H20</f>
        <v>0.17629644009803683</v>
      </c>
      <c r="I22" s="19">
        <f>I21/I20</f>
        <v>0.19396265985271252</v>
      </c>
    </row>
    <row r="24" spans="2:10" x14ac:dyDescent="0.35">
      <c r="B24" s="1" t="s">
        <v>512</v>
      </c>
      <c r="D24" s="95"/>
      <c r="E24" s="19">
        <f>ABS(E19)/E17</f>
        <v>4.1441513830577932E-2</v>
      </c>
      <c r="F24" s="19">
        <f>ABS(F19)/(AVERAGE(E17:F17))</f>
        <v>4.0569791172772061E-2</v>
      </c>
      <c r="G24" s="19">
        <f>ABS(G19)/(AVERAGE(F17:G17))</f>
        <v>5.9372692607240027E-2</v>
      </c>
      <c r="H24" s="19">
        <f>ABS(H19)/(AVERAGE(G17:H17))</f>
        <v>5.0326542239478377E-2</v>
      </c>
      <c r="I24" s="44">
        <f>Assumptions!$L$97</f>
        <v>0.05</v>
      </c>
    </row>
    <row r="25" spans="2:10" x14ac:dyDescent="0.35">
      <c r="B25" s="1" t="s">
        <v>603</v>
      </c>
      <c r="D25" s="95"/>
      <c r="E25" s="19">
        <f>E24*(1-E22)</f>
        <v>3.6007129258547682E-2</v>
      </c>
      <c r="F25" s="19">
        <f>F24*(1-F22)</f>
        <v>3.287020254003381E-2</v>
      </c>
      <c r="G25" s="19">
        <f>G24*(1-G22)</f>
        <v>4.8548263108090094E-2</v>
      </c>
      <c r="H25" s="19">
        <f>H24*(1-H22)</f>
        <v>4.1454152000214857E-2</v>
      </c>
      <c r="I25" s="19">
        <f>I24*(1-I22)</f>
        <v>4.0301867007364378E-2</v>
      </c>
    </row>
    <row r="26" spans="2:10" x14ac:dyDescent="0.35">
      <c r="B26" s="1" t="s">
        <v>183</v>
      </c>
      <c r="D26" s="95"/>
      <c r="E26" s="19">
        <f ca="1">E17/(E17+E12)</f>
        <v>2.530796442569298E-2</v>
      </c>
      <c r="F26" s="19">
        <f ca="1">F17/(F17+F12)</f>
        <v>1.8327615500116849E-2</v>
      </c>
      <c r="G26" s="19">
        <f ca="1">G17/(G17+G12)</f>
        <v>1.5303095419799012E-2</v>
      </c>
      <c r="H26" s="19">
        <f ca="1">H17/(H17+H12)</f>
        <v>1.1536207337125943E-2</v>
      </c>
      <c r="I26" s="19">
        <f>I17/(I17+I12)</f>
        <v>2.6377083486912829E-2</v>
      </c>
    </row>
    <row r="27" spans="2:10" x14ac:dyDescent="0.35">
      <c r="B27" s="1" t="s">
        <v>184</v>
      </c>
      <c r="D27" s="95"/>
      <c r="E27" s="19">
        <f ca="1">E12/(E12+E17)</f>
        <v>0.97469203557430706</v>
      </c>
      <c r="F27" s="19">
        <f ca="1">F12/(F12+F17)</f>
        <v>0.98167238449988314</v>
      </c>
      <c r="G27" s="19">
        <f ca="1">G12/(G12+G17)</f>
        <v>0.98469690458020098</v>
      </c>
      <c r="H27" s="19">
        <f ca="1">H12/(H12+H17)</f>
        <v>0.9884637926628741</v>
      </c>
      <c r="I27" s="19">
        <f>I12/(I12+I17)</f>
        <v>0.97362291651308719</v>
      </c>
    </row>
    <row r="28" spans="2:10" x14ac:dyDescent="0.35">
      <c r="B28" s="54" t="s">
        <v>604</v>
      </c>
      <c r="D28" s="95"/>
      <c r="E28" s="265">
        <f ca="1">(E27*E8)+((E26*E24)*(1-E22))</f>
        <v>7.4896581547652857E-2</v>
      </c>
      <c r="F28" s="265">
        <f ca="1">(F27*F8)+((F26*F24)*(1-F22))</f>
        <v>8.351615994063305E-2</v>
      </c>
      <c r="G28" s="265">
        <f ca="1">(G27*G8)+((G26*G24)*(1-G22))</f>
        <v>8.1537556923330645E-2</v>
      </c>
      <c r="H28" s="265">
        <f ca="1">(H27*H8)+((H26*H24)*(1-H22))</f>
        <v>8.7468722949088834E-2</v>
      </c>
      <c r="I28" s="265">
        <f>I27*I8+I26*I24*(1-0.2)</f>
        <v>9.053558405181325E-2</v>
      </c>
    </row>
    <row r="30" spans="2:10" x14ac:dyDescent="0.35">
      <c r="B30" t="s">
        <v>689</v>
      </c>
    </row>
    <row r="31" spans="2:10" x14ac:dyDescent="0.35">
      <c r="B31" t="s">
        <v>1112</v>
      </c>
    </row>
    <row r="32" spans="2:10" x14ac:dyDescent="0.35">
      <c r="B32" t="s">
        <v>513</v>
      </c>
      <c r="I32" s="95" t="s">
        <v>186</v>
      </c>
      <c r="J32" s="91"/>
    </row>
    <row r="33" spans="2:10" x14ac:dyDescent="0.35">
      <c r="B33" t="s">
        <v>187</v>
      </c>
      <c r="I33" s="87"/>
      <c r="J33" s="91"/>
    </row>
    <row r="34" spans="2:10" x14ac:dyDescent="0.35">
      <c r="B34" t="s">
        <v>690</v>
      </c>
      <c r="I34" s="87"/>
      <c r="J34" s="91"/>
    </row>
    <row r="35" spans="2:10" x14ac:dyDescent="0.35">
      <c r="I35" s="87"/>
      <c r="J35" s="91"/>
    </row>
    <row r="36" spans="2:10" x14ac:dyDescent="0.35">
      <c r="I36" s="87"/>
      <c r="J36" s="91"/>
    </row>
    <row r="37" spans="2:10" x14ac:dyDescent="0.35">
      <c r="I37" s="87"/>
      <c r="J37" s="91"/>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1EA4E-B0B7-46D4-BC6A-BF79D199A429}">
  <dimension ref="A1:Q118"/>
  <sheetViews>
    <sheetView showGridLines="0" workbookViewId="0">
      <pane xSplit="2" ySplit="5" topLeftCell="C95" activePane="bottomRight" state="frozen"/>
      <selection pane="topRight" activeCell="C1" sqref="C1"/>
      <selection pane="bottomLeft" activeCell="A6" sqref="A6"/>
      <selection pane="bottomRight" activeCell="J98" sqref="J98:Q99"/>
    </sheetView>
  </sheetViews>
  <sheetFormatPr defaultRowHeight="14.5" x14ac:dyDescent="0.35"/>
  <cols>
    <col min="1" max="1" width="2.6328125" customWidth="1"/>
  </cols>
  <sheetData>
    <row r="1" spans="1:17" x14ac:dyDescent="0.35">
      <c r="B1" s="266" t="s">
        <v>188</v>
      </c>
      <c r="C1" s="266" t="s">
        <v>189</v>
      </c>
      <c r="D1" s="266" t="s">
        <v>190</v>
      </c>
      <c r="E1" s="266" t="s">
        <v>191</v>
      </c>
      <c r="F1" s="266" t="s">
        <v>192</v>
      </c>
      <c r="Q1" s="305" t="str">
        <f>HYPERLINK("#'Cover'!A1","Cover")</f>
        <v>Cover</v>
      </c>
    </row>
    <row r="2" spans="1:17" x14ac:dyDescent="0.35">
      <c r="A2" s="87"/>
      <c r="B2" s="269">
        <v>42767</v>
      </c>
      <c r="C2" s="273">
        <v>57.542690277099609</v>
      </c>
      <c r="D2" s="270">
        <v>2363.639892578125</v>
      </c>
      <c r="E2" s="274">
        <v>-4.3638576092039916E-3</v>
      </c>
      <c r="F2" s="274">
        <v>3.719816006681631E-2</v>
      </c>
    </row>
    <row r="3" spans="1:17" x14ac:dyDescent="0.35">
      <c r="A3" s="87"/>
      <c r="B3" s="269">
        <v>42795</v>
      </c>
      <c r="C3" s="273">
        <v>59.233543395996087</v>
      </c>
      <c r="D3" s="270">
        <v>2362.719970703125</v>
      </c>
      <c r="E3" s="274">
        <v>2.938432511156663E-2</v>
      </c>
      <c r="F3" s="274">
        <v>-3.8919713526941457E-4</v>
      </c>
      <c r="I3" t="s">
        <v>193</v>
      </c>
      <c r="J3" s="297">
        <v>2022</v>
      </c>
    </row>
    <row r="4" spans="1:17" ht="15" thickBot="1" x14ac:dyDescent="0.4">
      <c r="A4" s="87"/>
      <c r="B4" s="269">
        <v>42826</v>
      </c>
      <c r="C4" s="273">
        <v>61.571949005126953</v>
      </c>
      <c r="D4" s="270">
        <v>2384.199951171875</v>
      </c>
      <c r="E4" s="274">
        <v>3.9477726218366323E-2</v>
      </c>
      <c r="F4" s="274">
        <v>9.0912087488546067E-3</v>
      </c>
    </row>
    <row r="5" spans="1:17" x14ac:dyDescent="0.35">
      <c r="A5" s="87"/>
      <c r="B5" s="269">
        <v>42856</v>
      </c>
      <c r="C5" s="273">
        <v>63.173141479492188</v>
      </c>
      <c r="D5" s="270">
        <v>2411.800048828125</v>
      </c>
      <c r="E5" s="274">
        <v>2.6005226409706591E-2</v>
      </c>
      <c r="F5" s="274">
        <v>1.157625124632866E-2</v>
      </c>
      <c r="I5" s="267" t="s">
        <v>194</v>
      </c>
      <c r="J5" s="267"/>
    </row>
    <row r="6" spans="1:17" x14ac:dyDescent="0.35">
      <c r="A6" s="87"/>
      <c r="B6" s="269">
        <v>42887</v>
      </c>
      <c r="C6" s="273">
        <v>62.349990844726563</v>
      </c>
      <c r="D6" s="270">
        <v>2423.409912109375</v>
      </c>
      <c r="E6" s="274">
        <v>-1.303007283614099E-2</v>
      </c>
      <c r="F6" s="274">
        <v>4.8137752078125651E-3</v>
      </c>
      <c r="I6" s="95" t="s">
        <v>195</v>
      </c>
      <c r="J6" s="298">
        <v>0.78497002677955829</v>
      </c>
    </row>
    <row r="7" spans="1:17" x14ac:dyDescent="0.35">
      <c r="A7" s="87"/>
      <c r="B7" s="269">
        <v>42917</v>
      </c>
      <c r="C7" s="273">
        <v>65.760124206542969</v>
      </c>
      <c r="D7" s="270">
        <v>2470.300048828125</v>
      </c>
      <c r="E7" s="274">
        <v>5.4693405975132281E-2</v>
      </c>
      <c r="F7" s="274">
        <v>1.9348826001101879E-2</v>
      </c>
      <c r="I7" s="95" t="s">
        <v>196</v>
      </c>
      <c r="J7" s="298">
        <v>0.61617794294230044</v>
      </c>
    </row>
    <row r="8" spans="1:17" x14ac:dyDescent="0.35">
      <c r="A8" s="87"/>
      <c r="B8" s="269">
        <v>42948</v>
      </c>
      <c r="C8" s="273">
        <v>67.992851257324219</v>
      </c>
      <c r="D8" s="270">
        <v>2471.64990234375</v>
      </c>
      <c r="E8" s="274">
        <v>3.3952597835256171E-2</v>
      </c>
      <c r="F8" s="274">
        <v>5.46433019853243E-4</v>
      </c>
      <c r="I8" s="95" t="s">
        <v>197</v>
      </c>
      <c r="J8" s="298">
        <v>0.60956032126889181</v>
      </c>
    </row>
    <row r="9" spans="1:17" x14ac:dyDescent="0.35">
      <c r="A9" s="87"/>
      <c r="B9" s="269">
        <v>42979</v>
      </c>
      <c r="C9" s="273">
        <v>67.738235473632813</v>
      </c>
      <c r="D9" s="270">
        <v>2519.360107421875</v>
      </c>
      <c r="E9" s="274">
        <v>-3.7447434396858941E-3</v>
      </c>
      <c r="F9" s="274">
        <v>1.9302978562167668E-2</v>
      </c>
      <c r="I9" s="95" t="s">
        <v>198</v>
      </c>
      <c r="J9" s="298">
        <v>3.6308422133403399E-2</v>
      </c>
    </row>
    <row r="10" spans="1:17" ht="15" thickBot="1" x14ac:dyDescent="0.4">
      <c r="A10" s="87"/>
      <c r="B10" s="269">
        <v>43009</v>
      </c>
      <c r="C10" s="273">
        <v>75.640571594238281</v>
      </c>
      <c r="D10" s="270">
        <v>2575.260009765625</v>
      </c>
      <c r="E10" s="274">
        <v>0.1166599050794801</v>
      </c>
      <c r="F10" s="274">
        <v>2.2188135066151249E-2</v>
      </c>
      <c r="I10" s="291" t="s">
        <v>199</v>
      </c>
      <c r="J10" s="299">
        <v>60</v>
      </c>
    </row>
    <row r="11" spans="1:17" x14ac:dyDescent="0.35">
      <c r="A11" s="87"/>
      <c r="B11" s="269">
        <v>43040</v>
      </c>
      <c r="C11" s="273">
        <v>76.925216674804688</v>
      </c>
      <c r="D11" s="270">
        <v>2647.580078125</v>
      </c>
      <c r="E11" s="274">
        <v>1.6983545384316789E-2</v>
      </c>
      <c r="F11" s="274">
        <v>2.8082627806563339E-2</v>
      </c>
    </row>
    <row r="12" spans="1:17" ht="15" thickBot="1" x14ac:dyDescent="0.4">
      <c r="A12" s="87"/>
      <c r="B12" s="269">
        <v>43070</v>
      </c>
      <c r="C12" s="273">
        <v>78.177322387695313</v>
      </c>
      <c r="D12" s="270">
        <v>2673.610107421875</v>
      </c>
      <c r="E12" s="274">
        <v>1.6276921496156449E-2</v>
      </c>
      <c r="F12" s="274">
        <v>9.8316305942705018E-3</v>
      </c>
      <c r="I12" t="s">
        <v>200</v>
      </c>
    </row>
    <row r="13" spans="1:17" x14ac:dyDescent="0.35">
      <c r="A13" s="87"/>
      <c r="B13" s="269">
        <v>43101</v>
      </c>
      <c r="C13" s="273">
        <v>86.832221984863281</v>
      </c>
      <c r="D13" s="270">
        <v>2823.81005859375</v>
      </c>
      <c r="E13" s="274">
        <v>0.11070857037347449</v>
      </c>
      <c r="F13" s="274">
        <v>5.6178704125528167E-2</v>
      </c>
      <c r="I13" s="268"/>
      <c r="J13" s="268" t="s">
        <v>201</v>
      </c>
      <c r="K13" s="268" t="s">
        <v>202</v>
      </c>
      <c r="L13" s="268" t="s">
        <v>203</v>
      </c>
      <c r="M13" s="268" t="s">
        <v>204</v>
      </c>
      <c r="N13" s="268" t="s">
        <v>205</v>
      </c>
    </row>
    <row r="14" spans="1:17" x14ac:dyDescent="0.35">
      <c r="A14" s="87"/>
      <c r="B14" s="269">
        <v>43132</v>
      </c>
      <c r="C14" s="273">
        <v>86.101516723632813</v>
      </c>
      <c r="D14" s="270">
        <v>2713.830078125</v>
      </c>
      <c r="E14" s="274">
        <v>-8.4151395015302777E-3</v>
      </c>
      <c r="F14" s="274">
        <v>-3.8947371879367698E-2</v>
      </c>
      <c r="I14" s="95" t="s">
        <v>206</v>
      </c>
      <c r="J14" s="298">
        <v>1</v>
      </c>
      <c r="K14" s="298">
        <v>0.12274928327959921</v>
      </c>
      <c r="L14" s="298">
        <v>0.12274928327959921</v>
      </c>
      <c r="M14" s="298">
        <v>93.111690778315349</v>
      </c>
      <c r="N14" s="298">
        <v>1.1451641914144099E-13</v>
      </c>
    </row>
    <row r="15" spans="1:17" x14ac:dyDescent="0.35">
      <c r="A15" s="87"/>
      <c r="B15" s="269">
        <v>43160</v>
      </c>
      <c r="C15" s="273">
        <v>83.805961608886719</v>
      </c>
      <c r="D15" s="270">
        <v>2640.8701171875</v>
      </c>
      <c r="E15" s="274">
        <v>-2.6661029934168631E-2</v>
      </c>
      <c r="F15" s="274">
        <v>-2.6884498600556639E-2</v>
      </c>
      <c r="I15" s="95" t="s">
        <v>207</v>
      </c>
      <c r="J15" s="298">
        <v>58</v>
      </c>
      <c r="K15" s="298">
        <v>7.6461488033410241E-2</v>
      </c>
      <c r="L15" s="298">
        <v>1.3183015178174181E-3</v>
      </c>
      <c r="M15" s="298"/>
      <c r="N15" s="298"/>
    </row>
    <row r="16" spans="1:17" ht="15" thickBot="1" x14ac:dyDescent="0.4">
      <c r="A16" s="87"/>
      <c r="B16" s="269">
        <v>43191</v>
      </c>
      <c r="C16" s="273">
        <v>85.871955871582031</v>
      </c>
      <c r="D16" s="270">
        <v>2648.050048828125</v>
      </c>
      <c r="E16" s="274">
        <v>2.465211570910775E-2</v>
      </c>
      <c r="F16" s="274">
        <v>2.7187749953683231E-3</v>
      </c>
      <c r="I16" s="291" t="s">
        <v>208</v>
      </c>
      <c r="J16" s="299">
        <v>59</v>
      </c>
      <c r="K16" s="299">
        <v>0.1992107713130094</v>
      </c>
      <c r="L16" s="299"/>
      <c r="M16" s="299"/>
      <c r="N16" s="299"/>
    </row>
    <row r="17" spans="1:17" ht="15" thickBot="1" x14ac:dyDescent="0.4">
      <c r="A17" s="87"/>
      <c r="B17" s="269">
        <v>43221</v>
      </c>
      <c r="C17" s="273">
        <v>91.150238037109375</v>
      </c>
      <c r="D17" s="270">
        <v>2705.27001953125</v>
      </c>
      <c r="E17" s="274">
        <v>6.1466891163173283E-2</v>
      </c>
      <c r="F17" s="274">
        <v>2.1608341854583601E-2</v>
      </c>
    </row>
    <row r="18" spans="1:17" x14ac:dyDescent="0.35">
      <c r="A18" s="87"/>
      <c r="B18" s="269">
        <v>43252</v>
      </c>
      <c r="C18" s="273">
        <v>90.938163757324219</v>
      </c>
      <c r="D18" s="270">
        <v>2718.3701171875</v>
      </c>
      <c r="E18" s="274">
        <v>-2.3266453752849299E-3</v>
      </c>
      <c r="F18" s="274">
        <v>4.8424362676078303E-3</v>
      </c>
      <c r="I18" s="268"/>
      <c r="J18" s="268" t="s">
        <v>209</v>
      </c>
      <c r="K18" s="268" t="s">
        <v>198</v>
      </c>
      <c r="L18" s="268" t="s">
        <v>210</v>
      </c>
      <c r="M18" s="268" t="s">
        <v>211</v>
      </c>
      <c r="N18" s="268" t="s">
        <v>212</v>
      </c>
      <c r="O18" s="268" t="s">
        <v>213</v>
      </c>
      <c r="P18" s="268" t="s">
        <v>214</v>
      </c>
      <c r="Q18" s="268" t="s">
        <v>215</v>
      </c>
    </row>
    <row r="19" spans="1:17" x14ac:dyDescent="0.35">
      <c r="A19" s="87"/>
      <c r="B19" s="269">
        <v>43282</v>
      </c>
      <c r="C19" s="273">
        <v>97.826995849609375</v>
      </c>
      <c r="D19" s="270">
        <v>2816.2900390625</v>
      </c>
      <c r="E19" s="274">
        <v>7.5752927128246883E-2</v>
      </c>
      <c r="F19" s="274">
        <v>3.602155617289915E-2</v>
      </c>
      <c r="I19" s="95" t="s">
        <v>216</v>
      </c>
      <c r="J19" s="300">
        <v>1.6834054507829339E-2</v>
      </c>
      <c r="K19" s="300">
        <v>4.7614032208409549E-3</v>
      </c>
      <c r="L19" s="300">
        <v>3.535523820823586</v>
      </c>
      <c r="M19" s="300">
        <v>8.0737141237710401E-4</v>
      </c>
      <c r="N19" s="300">
        <v>7.3030704316065674E-3</v>
      </c>
      <c r="O19" s="300">
        <v>2.636503858405212E-2</v>
      </c>
      <c r="P19" s="300">
        <v>7.3030704316065674E-3</v>
      </c>
      <c r="Q19" s="300">
        <v>2.636503858405212E-2</v>
      </c>
    </row>
    <row r="20" spans="1:17" ht="15" thickBot="1" x14ac:dyDescent="0.4">
      <c r="A20" s="87"/>
      <c r="B20" s="269">
        <v>43313</v>
      </c>
      <c r="C20" s="273">
        <v>103.9893798828125</v>
      </c>
      <c r="D20" s="270">
        <v>2901.52001953125</v>
      </c>
      <c r="E20" s="274">
        <v>6.2992673746995465E-2</v>
      </c>
      <c r="F20" s="274">
        <v>3.0263211276748251E-2</v>
      </c>
      <c r="I20" s="291" t="s">
        <v>217</v>
      </c>
      <c r="J20" s="301">
        <v>0.93306409460711426</v>
      </c>
      <c r="K20" s="301">
        <v>9.6696191934411826E-2</v>
      </c>
      <c r="L20" s="301">
        <v>9.6494399204469534</v>
      </c>
      <c r="M20" s="301">
        <v>1.145164191414418E-13</v>
      </c>
      <c r="N20" s="301">
        <v>0.73950563656173862</v>
      </c>
      <c r="O20" s="301">
        <v>1.12662255265249</v>
      </c>
      <c r="P20" s="301">
        <v>0.73950563656173862</v>
      </c>
      <c r="Q20" s="301">
        <v>1.12662255265249</v>
      </c>
    </row>
    <row r="21" spans="1:17" x14ac:dyDescent="0.35">
      <c r="A21" s="87"/>
      <c r="B21" s="269">
        <v>43344</v>
      </c>
      <c r="C21" s="273">
        <v>105.87794494628911</v>
      </c>
      <c r="D21" s="270">
        <v>2913.97998046875</v>
      </c>
      <c r="E21" s="274">
        <v>1.8161134008153779E-2</v>
      </c>
      <c r="F21" s="274">
        <v>4.2942874264617634E-3</v>
      </c>
    </row>
    <row r="22" spans="1:17" x14ac:dyDescent="0.35">
      <c r="A22" s="87"/>
      <c r="B22" s="269">
        <v>43374</v>
      </c>
      <c r="C22" s="273">
        <v>98.879257202148438</v>
      </c>
      <c r="D22" s="270">
        <v>2711.739990234375</v>
      </c>
      <c r="E22" s="274">
        <v>-6.6101469457978235E-2</v>
      </c>
      <c r="F22" s="274">
        <v>-6.94033560936963E-2</v>
      </c>
    </row>
    <row r="23" spans="1:17" x14ac:dyDescent="0.35">
      <c r="A23" s="87"/>
      <c r="B23" s="269">
        <v>43405</v>
      </c>
      <c r="C23" s="273">
        <v>103.0997848510742</v>
      </c>
      <c r="D23" s="270">
        <v>2760.169921875</v>
      </c>
      <c r="E23" s="274">
        <v>4.2683650427281623E-2</v>
      </c>
      <c r="F23" s="274">
        <v>1.7859356654779779E-2</v>
      </c>
      <c r="I23" s="95" t="s">
        <v>218</v>
      </c>
      <c r="J23" s="37">
        <v>2023</v>
      </c>
    </row>
    <row r="24" spans="1:17" ht="15" thickBot="1" x14ac:dyDescent="0.4">
      <c r="A24" s="87"/>
      <c r="B24" s="269">
        <v>43435</v>
      </c>
      <c r="C24" s="273">
        <v>94.434539794921875</v>
      </c>
      <c r="D24" s="270">
        <v>2506.85009765625</v>
      </c>
      <c r="E24" s="274">
        <v>-8.4047169144621736E-2</v>
      </c>
      <c r="F24" s="274">
        <v>-9.177689467997252E-2</v>
      </c>
    </row>
    <row r="25" spans="1:17" x14ac:dyDescent="0.35">
      <c r="A25" s="87"/>
      <c r="B25" s="269">
        <v>43466</v>
      </c>
      <c r="C25" s="273">
        <v>97.093620300292969</v>
      </c>
      <c r="D25" s="270">
        <v>2704.10009765625</v>
      </c>
      <c r="E25" s="274">
        <v>2.815792305596743E-2</v>
      </c>
      <c r="F25" s="274">
        <v>7.8684401665826131E-2</v>
      </c>
      <c r="I25" s="267" t="s">
        <v>194</v>
      </c>
      <c r="J25" s="267"/>
    </row>
    <row r="26" spans="1:17" x14ac:dyDescent="0.35">
      <c r="A26" s="87"/>
      <c r="B26" s="269">
        <v>43497</v>
      </c>
      <c r="C26" s="273">
        <v>104.6045303344727</v>
      </c>
      <c r="D26" s="270">
        <v>2784.489990234375</v>
      </c>
      <c r="E26" s="274">
        <v>7.7357400114959285E-2</v>
      </c>
      <c r="F26" s="274">
        <v>2.9728889343927149E-2</v>
      </c>
      <c r="I26" s="95" t="s">
        <v>195</v>
      </c>
      <c r="J26" s="298">
        <v>0.77510838952275229</v>
      </c>
    </row>
    <row r="27" spans="1:17" x14ac:dyDescent="0.35">
      <c r="A27" s="87"/>
      <c r="B27" s="269">
        <v>43525</v>
      </c>
      <c r="C27" s="273">
        <v>110.1228332519531</v>
      </c>
      <c r="D27" s="270">
        <v>2834.39990234375</v>
      </c>
      <c r="E27" s="274">
        <v>5.275395721232834E-2</v>
      </c>
      <c r="F27" s="274">
        <v>1.7924256249588488E-2</v>
      </c>
      <c r="I27" s="95" t="s">
        <v>196</v>
      </c>
      <c r="J27" s="298">
        <v>0.60079301550855468</v>
      </c>
    </row>
    <row r="28" spans="1:17" x14ac:dyDescent="0.35">
      <c r="A28" s="87"/>
      <c r="B28" s="269">
        <v>43556</v>
      </c>
      <c r="C28" s="273">
        <v>121.94370269775391</v>
      </c>
      <c r="D28" s="270">
        <v>2945.830078125</v>
      </c>
      <c r="E28" s="274">
        <v>0.1073425837015607</v>
      </c>
      <c r="F28" s="274">
        <v>3.9313498313737982E-2</v>
      </c>
      <c r="I28" s="95" t="s">
        <v>197</v>
      </c>
      <c r="J28" s="298">
        <v>0.59391013646559876</v>
      </c>
    </row>
    <row r="29" spans="1:17" x14ac:dyDescent="0.35">
      <c r="A29" s="87"/>
      <c r="B29" s="269">
        <v>43586</v>
      </c>
      <c r="C29" s="273">
        <v>115.9098358154297</v>
      </c>
      <c r="D29" s="270">
        <v>2752.06005859375</v>
      </c>
      <c r="E29" s="274">
        <v>-4.948075832402421E-2</v>
      </c>
      <c r="F29" s="274">
        <v>-6.5777731366835401E-2</v>
      </c>
      <c r="I29" s="95" t="s">
        <v>198</v>
      </c>
      <c r="J29" s="298">
        <v>4.0815593813958932E-2</v>
      </c>
    </row>
    <row r="30" spans="1:17" ht="15" thickBot="1" x14ac:dyDescent="0.4">
      <c r="A30" s="87"/>
      <c r="B30" s="269">
        <v>43617</v>
      </c>
      <c r="C30" s="273">
        <v>125.5440292358398</v>
      </c>
      <c r="D30" s="270">
        <v>2941.760009765625</v>
      </c>
      <c r="E30" s="274">
        <v>8.3117997300516056E-2</v>
      </c>
      <c r="F30" s="274">
        <v>6.8930163998240701E-2</v>
      </c>
      <c r="I30" s="291" t="s">
        <v>199</v>
      </c>
      <c r="J30" s="299">
        <v>60</v>
      </c>
    </row>
    <row r="31" spans="1:17" x14ac:dyDescent="0.35">
      <c r="A31" s="87"/>
      <c r="B31" s="269">
        <v>43647</v>
      </c>
      <c r="C31" s="273">
        <v>127.70888519287109</v>
      </c>
      <c r="D31" s="270">
        <v>2980.3798828125</v>
      </c>
      <c r="E31" s="274">
        <v>1.724379861159675E-2</v>
      </c>
      <c r="F31" s="274">
        <v>1.312815216695795E-2</v>
      </c>
    </row>
    <row r="32" spans="1:17" ht="15" thickBot="1" x14ac:dyDescent="0.4">
      <c r="A32" s="87"/>
      <c r="B32" s="269">
        <v>43678</v>
      </c>
      <c r="C32" s="273">
        <v>129.62919616699219</v>
      </c>
      <c r="D32" s="270">
        <v>2926.4599609375</v>
      </c>
      <c r="E32" s="274">
        <v>1.5036627805661061E-2</v>
      </c>
      <c r="F32" s="274">
        <v>-1.809162724052393E-2</v>
      </c>
      <c r="I32" t="s">
        <v>200</v>
      </c>
    </row>
    <row r="33" spans="1:17" x14ac:dyDescent="0.35">
      <c r="A33" s="87"/>
      <c r="B33" s="269">
        <v>43709</v>
      </c>
      <c r="C33" s="273">
        <v>130.7293395996094</v>
      </c>
      <c r="D33" s="270">
        <v>2976.739990234375</v>
      </c>
      <c r="E33" s="274">
        <v>8.4868491446938865E-3</v>
      </c>
      <c r="F33" s="274">
        <v>1.71811779310207E-2</v>
      </c>
      <c r="I33" s="268"/>
      <c r="J33" s="268" t="s">
        <v>201</v>
      </c>
      <c r="K33" s="268" t="s">
        <v>202</v>
      </c>
      <c r="L33" s="268" t="s">
        <v>203</v>
      </c>
      <c r="M33" s="268" t="s">
        <v>204</v>
      </c>
      <c r="N33" s="268" t="s">
        <v>205</v>
      </c>
    </row>
    <row r="34" spans="1:17" x14ac:dyDescent="0.35">
      <c r="A34" s="87"/>
      <c r="B34" s="269">
        <v>43739</v>
      </c>
      <c r="C34" s="273">
        <v>134.8102111816406</v>
      </c>
      <c r="D34" s="270">
        <v>3037.56005859375</v>
      </c>
      <c r="E34" s="274">
        <v>3.1216187540837659E-2</v>
      </c>
      <c r="F34" s="274">
        <v>2.0431770513684059E-2</v>
      </c>
      <c r="I34" s="95" t="s">
        <v>206</v>
      </c>
      <c r="J34" s="298">
        <v>1</v>
      </c>
      <c r="K34" s="298">
        <v>0.14541425287164861</v>
      </c>
      <c r="L34" s="298">
        <v>0.14541425287164861</v>
      </c>
      <c r="M34" s="298">
        <v>87.288039170674608</v>
      </c>
      <c r="N34" s="298">
        <v>3.6228463203680108E-13</v>
      </c>
    </row>
    <row r="35" spans="1:17" x14ac:dyDescent="0.35">
      <c r="A35" s="87"/>
      <c r="B35" s="269">
        <v>43770</v>
      </c>
      <c r="C35" s="273">
        <v>142.82635498046881</v>
      </c>
      <c r="D35" s="270">
        <v>3140.97998046875</v>
      </c>
      <c r="E35" s="274">
        <v>5.9462437812127789E-2</v>
      </c>
      <c r="F35" s="274">
        <v>3.4047037714499913E-2</v>
      </c>
      <c r="I35" s="95" t="s">
        <v>207</v>
      </c>
      <c r="J35" s="298">
        <v>58</v>
      </c>
      <c r="K35" s="298">
        <v>9.6622936506392754E-2</v>
      </c>
      <c r="L35" s="298">
        <v>1.6659126983860819E-3</v>
      </c>
      <c r="M35" s="298"/>
      <c r="N35" s="298"/>
    </row>
    <row r="36" spans="1:17" ht="15" thickBot="1" x14ac:dyDescent="0.4">
      <c r="A36" s="87"/>
      <c r="B36" s="269">
        <v>43800</v>
      </c>
      <c r="C36" s="273">
        <v>148.78924560546881</v>
      </c>
      <c r="D36" s="270">
        <v>3230.780029296875</v>
      </c>
      <c r="E36" s="274">
        <v>4.1749231966435207E-2</v>
      </c>
      <c r="F36" s="274">
        <v>2.8589818905730091E-2</v>
      </c>
      <c r="I36" s="291" t="s">
        <v>208</v>
      </c>
      <c r="J36" s="299">
        <v>59</v>
      </c>
      <c r="K36" s="299">
        <v>0.24203718937804131</v>
      </c>
      <c r="L36" s="299"/>
      <c r="M36" s="299"/>
      <c r="N36" s="299"/>
    </row>
    <row r="37" spans="1:17" ht="15" thickBot="1" x14ac:dyDescent="0.4">
      <c r="A37" s="87"/>
      <c r="B37" s="269">
        <v>43831</v>
      </c>
      <c r="C37" s="273">
        <v>160.61125183105469</v>
      </c>
      <c r="D37" s="270">
        <v>3225.52001953125</v>
      </c>
      <c r="E37" s="274">
        <v>7.945470909190111E-2</v>
      </c>
      <c r="F37" s="274">
        <v>-1.628092819048965E-3</v>
      </c>
    </row>
    <row r="38" spans="1:17" x14ac:dyDescent="0.35">
      <c r="A38" s="87"/>
      <c r="B38" s="269">
        <v>43862</v>
      </c>
      <c r="C38" s="273">
        <v>153.2732238769531</v>
      </c>
      <c r="D38" s="270">
        <v>2954.219970703125</v>
      </c>
      <c r="E38" s="274">
        <v>-4.5688131251354402E-2</v>
      </c>
      <c r="F38" s="274">
        <v>-8.4110483638403122E-2</v>
      </c>
      <c r="I38" s="268"/>
      <c r="J38" s="268" t="s">
        <v>209</v>
      </c>
      <c r="K38" s="268" t="s">
        <v>198</v>
      </c>
      <c r="L38" s="268" t="s">
        <v>210</v>
      </c>
      <c r="M38" s="268" t="s">
        <v>211</v>
      </c>
      <c r="N38" s="268" t="s">
        <v>212</v>
      </c>
      <c r="O38" s="268" t="s">
        <v>213</v>
      </c>
      <c r="P38" s="268" t="s">
        <v>214</v>
      </c>
      <c r="Q38" s="268" t="s">
        <v>215</v>
      </c>
    </row>
    <row r="39" spans="1:17" x14ac:dyDescent="0.35">
      <c r="A39" s="87"/>
      <c r="B39" s="269">
        <v>43891</v>
      </c>
      <c r="C39" s="273">
        <v>149.2051086425781</v>
      </c>
      <c r="D39" s="270">
        <v>2584.590087890625</v>
      </c>
      <c r="E39" s="274">
        <v>-2.654159109774357E-2</v>
      </c>
      <c r="F39" s="274">
        <v>-0.1251192824089282</v>
      </c>
      <c r="I39" s="95" t="s">
        <v>216</v>
      </c>
      <c r="J39" s="298">
        <v>1.491303948905672E-2</v>
      </c>
      <c r="K39" s="298">
        <v>5.3544589262064192E-3</v>
      </c>
      <c r="L39" s="298">
        <v>2.785162739052415</v>
      </c>
      <c r="M39" s="298">
        <v>7.215101924704698E-3</v>
      </c>
      <c r="N39" s="298">
        <v>4.1949254383318087E-3</v>
      </c>
      <c r="O39" s="298">
        <v>2.5631153539781629E-2</v>
      </c>
      <c r="P39" s="298">
        <v>4.1949254383318087E-3</v>
      </c>
      <c r="Q39" s="298">
        <v>2.5631153539781629E-2</v>
      </c>
    </row>
    <row r="40" spans="1:17" ht="15" thickBot="1" x14ac:dyDescent="0.4">
      <c r="A40" s="87"/>
      <c r="B40" s="269">
        <v>43922</v>
      </c>
      <c r="C40" s="273">
        <v>169.5456848144531</v>
      </c>
      <c r="D40" s="270">
        <v>2912.429931640625</v>
      </c>
      <c r="E40" s="274">
        <v>0.1363262716466431</v>
      </c>
      <c r="F40" s="274">
        <v>0.12684403816527889</v>
      </c>
      <c r="I40" s="291" t="s">
        <v>217</v>
      </c>
      <c r="J40" s="299">
        <v>0.91546112835188109</v>
      </c>
      <c r="K40" s="299">
        <v>9.79856638953122E-2</v>
      </c>
      <c r="L40" s="299">
        <v>9.3428068143719365</v>
      </c>
      <c r="M40" s="299">
        <v>3.6228463203679588E-13</v>
      </c>
      <c r="N40" s="299">
        <v>0.71932151173705616</v>
      </c>
      <c r="O40" s="299">
        <v>1.111600744966706</v>
      </c>
      <c r="P40" s="299">
        <v>0.71932151173705616</v>
      </c>
      <c r="Q40" s="299">
        <v>1.111600744966706</v>
      </c>
    </row>
    <row r="41" spans="1:17" x14ac:dyDescent="0.35">
      <c r="A41" s="87"/>
      <c r="B41" s="269">
        <v>43952</v>
      </c>
      <c r="C41" s="273">
        <v>173.85066223144531</v>
      </c>
      <c r="D41" s="270">
        <v>3044.31005859375</v>
      </c>
      <c r="E41" s="274">
        <v>2.539125322890667E-2</v>
      </c>
      <c r="F41" s="274">
        <v>4.5281819665558221E-2</v>
      </c>
    </row>
    <row r="42" spans="1:17" x14ac:dyDescent="0.35">
      <c r="A42" s="87"/>
      <c r="B42" s="269">
        <v>43983</v>
      </c>
      <c r="C42" s="273">
        <v>193.0715026855469</v>
      </c>
      <c r="D42" s="270">
        <v>3100.2900390625</v>
      </c>
      <c r="E42" s="274">
        <v>0.11055948943417369</v>
      </c>
      <c r="F42" s="274">
        <v>1.838839651392421E-2</v>
      </c>
    </row>
    <row r="43" spans="1:17" x14ac:dyDescent="0.35">
      <c r="A43" s="87"/>
      <c r="B43" s="269">
        <v>44013</v>
      </c>
      <c r="C43" s="273">
        <v>194.49452209472659</v>
      </c>
      <c r="D43" s="270">
        <v>3271.1201171875</v>
      </c>
      <c r="E43" s="274">
        <v>7.3704269629959462E-3</v>
      </c>
      <c r="F43" s="274">
        <v>5.5101321480443673E-2</v>
      </c>
      <c r="I43" s="95" t="s">
        <v>218</v>
      </c>
      <c r="J43" s="37">
        <v>2024</v>
      </c>
    </row>
    <row r="44" spans="1:17" ht="15" thickBot="1" x14ac:dyDescent="0.4">
      <c r="A44" s="87"/>
      <c r="B44" s="269">
        <v>44044</v>
      </c>
      <c r="C44" s="273">
        <v>214.4792175292969</v>
      </c>
      <c r="D44" s="270">
        <v>3500.31005859375</v>
      </c>
      <c r="E44" s="274">
        <v>0.10275197069476839</v>
      </c>
      <c r="F44" s="274">
        <v>7.0064666901717754E-2</v>
      </c>
    </row>
    <row r="45" spans="1:17" x14ac:dyDescent="0.35">
      <c r="A45" s="87"/>
      <c r="B45" s="269">
        <v>44075</v>
      </c>
      <c r="C45" s="273">
        <v>200.02398681640619</v>
      </c>
      <c r="D45" s="270">
        <v>3363</v>
      </c>
      <c r="E45" s="274">
        <v>-6.7396882921377244E-2</v>
      </c>
      <c r="F45" s="274">
        <v>-3.9227970178423062E-2</v>
      </c>
      <c r="I45" s="267" t="s">
        <v>194</v>
      </c>
      <c r="J45" s="267"/>
    </row>
    <row r="46" spans="1:17" x14ac:dyDescent="0.35">
      <c r="A46" s="87"/>
      <c r="B46" s="269">
        <v>44105</v>
      </c>
      <c r="C46" s="273">
        <v>192.54914855957031</v>
      </c>
      <c r="D46" s="270">
        <v>3269.9599609375</v>
      </c>
      <c r="E46" s="274">
        <v>-3.7369709382389149E-2</v>
      </c>
      <c r="F46" s="274">
        <v>-2.7665786221379721E-2</v>
      </c>
      <c r="I46" s="95" t="s">
        <v>195</v>
      </c>
      <c r="J46" s="298">
        <v>0.74111036725205681</v>
      </c>
    </row>
    <row r="47" spans="1:17" x14ac:dyDescent="0.35">
      <c r="A47" s="87"/>
      <c r="B47" s="269">
        <v>44136</v>
      </c>
      <c r="C47" s="273">
        <v>204.11375427246091</v>
      </c>
      <c r="D47" s="270">
        <v>3621.6298828125</v>
      </c>
      <c r="E47" s="274">
        <v>6.006053934490807E-2</v>
      </c>
      <c r="F47" s="274">
        <v>0.1075456354438591</v>
      </c>
      <c r="I47" s="95" t="s">
        <v>196</v>
      </c>
      <c r="J47" s="298">
        <v>0.54924457644847857</v>
      </c>
    </row>
    <row r="48" spans="1:17" x14ac:dyDescent="0.35">
      <c r="A48" s="87"/>
      <c r="B48" s="269">
        <v>44166</v>
      </c>
      <c r="C48" s="273">
        <v>212.07537841796881</v>
      </c>
      <c r="D48" s="270">
        <v>3756.070068359375</v>
      </c>
      <c r="E48" s="274">
        <v>3.9005818955641043E-2</v>
      </c>
      <c r="F48" s="274">
        <v>3.7121459093570008E-2</v>
      </c>
      <c r="I48" s="95" t="s">
        <v>197</v>
      </c>
      <c r="J48" s="298">
        <v>0.54147293121483164</v>
      </c>
    </row>
    <row r="49" spans="1:17" x14ac:dyDescent="0.35">
      <c r="A49" s="87"/>
      <c r="B49" s="269">
        <v>44197</v>
      </c>
      <c r="C49" s="273">
        <v>221.17170715332031</v>
      </c>
      <c r="D49" s="270">
        <v>3714.239990234375</v>
      </c>
      <c r="E49" s="274">
        <v>4.2891960411472578E-2</v>
      </c>
      <c r="F49" s="274">
        <v>-1.113666075544517E-2</v>
      </c>
      <c r="I49" s="95" t="s">
        <v>198</v>
      </c>
      <c r="J49" s="298">
        <v>4.2664469163185677E-2</v>
      </c>
    </row>
    <row r="50" spans="1:17" ht="15" thickBot="1" x14ac:dyDescent="0.4">
      <c r="A50" s="87"/>
      <c r="B50" s="269">
        <v>44228</v>
      </c>
      <c r="C50" s="273">
        <v>222.08247375488281</v>
      </c>
      <c r="D50" s="270">
        <v>3811.14990234375</v>
      </c>
      <c r="E50" s="274">
        <v>4.1179164066005303E-3</v>
      </c>
      <c r="F50" s="274">
        <v>2.609145137744839E-2</v>
      </c>
      <c r="I50" s="291" t="s">
        <v>199</v>
      </c>
      <c r="J50" s="299">
        <v>60</v>
      </c>
    </row>
    <row r="51" spans="1:17" x14ac:dyDescent="0.35">
      <c r="A51" s="87"/>
      <c r="B51" s="269">
        <v>44256</v>
      </c>
      <c r="C51" s="273">
        <v>225.322265625</v>
      </c>
      <c r="D51" s="270">
        <v>3972.889892578125</v>
      </c>
      <c r="E51" s="274">
        <v>1.458823749276594E-2</v>
      </c>
      <c r="F51" s="274">
        <v>4.2438632533165148E-2</v>
      </c>
    </row>
    <row r="52" spans="1:17" ht="15" thickBot="1" x14ac:dyDescent="0.4">
      <c r="A52" s="87"/>
      <c r="B52" s="269">
        <v>44287</v>
      </c>
      <c r="C52" s="273">
        <v>241.00506591796881</v>
      </c>
      <c r="D52" s="270">
        <v>4181.169921875</v>
      </c>
      <c r="E52" s="274">
        <v>6.9601644779612615E-2</v>
      </c>
      <c r="F52" s="274">
        <v>5.2425321347558507E-2</v>
      </c>
      <c r="I52" t="s">
        <v>200</v>
      </c>
    </row>
    <row r="53" spans="1:17" x14ac:dyDescent="0.35">
      <c r="A53" s="87"/>
      <c r="B53" s="269">
        <v>44317</v>
      </c>
      <c r="C53" s="273">
        <v>239.16685485839841</v>
      </c>
      <c r="D53" s="270">
        <v>4204.10986328125</v>
      </c>
      <c r="E53" s="274">
        <v>-7.627271454102913E-3</v>
      </c>
      <c r="F53" s="274">
        <v>5.4864886706069704E-3</v>
      </c>
      <c r="I53" s="268"/>
      <c r="J53" s="268" t="s">
        <v>201</v>
      </c>
      <c r="K53" s="268" t="s">
        <v>202</v>
      </c>
      <c r="L53" s="268" t="s">
        <v>203</v>
      </c>
      <c r="M53" s="268" t="s">
        <v>204</v>
      </c>
      <c r="N53" s="268" t="s">
        <v>205</v>
      </c>
    </row>
    <row r="54" spans="1:17" x14ac:dyDescent="0.35">
      <c r="A54" s="87"/>
      <c r="B54" s="269">
        <v>44348</v>
      </c>
      <c r="C54" s="273">
        <v>259.49334716796881</v>
      </c>
      <c r="D54" s="270">
        <v>4297.5</v>
      </c>
      <c r="E54" s="274">
        <v>8.4988751144488006E-2</v>
      </c>
      <c r="F54" s="274">
        <v>2.221400956583475E-2</v>
      </c>
      <c r="I54" s="95" t="s">
        <v>206</v>
      </c>
      <c r="J54" s="298">
        <v>1</v>
      </c>
      <c r="K54" s="298">
        <v>0.12864280547117979</v>
      </c>
      <c r="L54" s="298">
        <v>0.12864280547117979</v>
      </c>
      <c r="M54" s="298">
        <v>70.672883274516138</v>
      </c>
      <c r="N54" s="298">
        <v>1.279389714594452E-11</v>
      </c>
    </row>
    <row r="55" spans="1:17" x14ac:dyDescent="0.35">
      <c r="A55" s="87"/>
      <c r="B55" s="269">
        <v>44378</v>
      </c>
      <c r="C55" s="273">
        <v>272.9134521484375</v>
      </c>
      <c r="D55" s="270">
        <v>4395.259765625</v>
      </c>
      <c r="E55" s="274">
        <v>5.1716566636222712E-2</v>
      </c>
      <c r="F55" s="274">
        <v>2.2748054828388709E-2</v>
      </c>
      <c r="I55" s="95" t="s">
        <v>207</v>
      </c>
      <c r="J55" s="298">
        <v>58</v>
      </c>
      <c r="K55" s="298">
        <v>0.1055749018806324</v>
      </c>
      <c r="L55" s="298">
        <v>1.8202569289764211E-3</v>
      </c>
      <c r="M55" s="298"/>
      <c r="N55" s="298"/>
    </row>
    <row r="56" spans="1:17" ht="15" thickBot="1" x14ac:dyDescent="0.4">
      <c r="A56" s="87"/>
      <c r="B56" s="269">
        <v>44409</v>
      </c>
      <c r="C56" s="273">
        <v>289.72244262695313</v>
      </c>
      <c r="D56" s="270">
        <v>4522.68017578125</v>
      </c>
      <c r="E56" s="274">
        <v>6.1590919561463009E-2</v>
      </c>
      <c r="F56" s="274">
        <v>2.899041625543863E-2</v>
      </c>
      <c r="I56" s="291" t="s">
        <v>208</v>
      </c>
      <c r="J56" s="299">
        <v>59</v>
      </c>
      <c r="K56" s="299">
        <v>0.2342177073518123</v>
      </c>
      <c r="L56" s="299"/>
      <c r="M56" s="299"/>
      <c r="N56" s="299"/>
    </row>
    <row r="57" spans="1:17" ht="15" thickBot="1" x14ac:dyDescent="0.4">
      <c r="A57" s="87"/>
      <c r="B57" s="269">
        <v>44440</v>
      </c>
      <c r="C57" s="273">
        <v>270.56631469726563</v>
      </c>
      <c r="D57" s="270">
        <v>4307.5400390625</v>
      </c>
      <c r="E57" s="274">
        <v>-6.6118895574661996E-2</v>
      </c>
      <c r="F57" s="274">
        <v>-4.7569168801901103E-2</v>
      </c>
    </row>
    <row r="58" spans="1:17" x14ac:dyDescent="0.35">
      <c r="A58" s="87"/>
      <c r="B58" s="269">
        <v>44470</v>
      </c>
      <c r="C58" s="273">
        <v>318.2647705078125</v>
      </c>
      <c r="D58" s="270">
        <v>4605.3798828125</v>
      </c>
      <c r="E58" s="274">
        <v>0.17629118341622199</v>
      </c>
      <c r="F58" s="274">
        <v>6.9143836400606506E-2</v>
      </c>
      <c r="I58" s="268"/>
      <c r="J58" s="268" t="s">
        <v>209</v>
      </c>
      <c r="K58" s="268" t="s">
        <v>198</v>
      </c>
      <c r="L58" s="268" t="s">
        <v>210</v>
      </c>
      <c r="M58" s="268" t="s">
        <v>211</v>
      </c>
      <c r="N58" s="268" t="s">
        <v>212</v>
      </c>
      <c r="O58" s="268" t="s">
        <v>213</v>
      </c>
      <c r="P58" s="268" t="s">
        <v>214</v>
      </c>
      <c r="Q58" s="268" t="s">
        <v>215</v>
      </c>
    </row>
    <row r="59" spans="1:17" x14ac:dyDescent="0.35">
      <c r="A59" s="87"/>
      <c r="B59" s="269">
        <v>44501</v>
      </c>
      <c r="C59" s="273">
        <v>317.85671997070313</v>
      </c>
      <c r="D59" s="270">
        <v>4567</v>
      </c>
      <c r="E59" s="274">
        <v>-1.2821102896758421E-3</v>
      </c>
      <c r="F59" s="274">
        <v>-8.3337061847461591E-3</v>
      </c>
      <c r="I59" s="95" t="s">
        <v>216</v>
      </c>
      <c r="J59" s="298">
        <v>1.2515836753417411E-2</v>
      </c>
      <c r="K59" s="298">
        <v>5.6474133932350474E-3</v>
      </c>
      <c r="L59" s="298">
        <v>2.2162069396956041</v>
      </c>
      <c r="M59" s="298">
        <v>3.0614292314579392E-2</v>
      </c>
      <c r="N59" s="298">
        <v>1.211310623982846E-3</v>
      </c>
      <c r="O59" s="298">
        <v>2.382036288285198E-2</v>
      </c>
      <c r="P59" s="298">
        <v>1.211310623982846E-3</v>
      </c>
      <c r="Q59" s="298">
        <v>2.382036288285198E-2</v>
      </c>
    </row>
    <row r="60" spans="1:17" ht="15" thickBot="1" x14ac:dyDescent="0.4">
      <c r="A60" s="87"/>
      <c r="B60" s="269">
        <v>44531</v>
      </c>
      <c r="C60" s="273">
        <v>323.36602783203119</v>
      </c>
      <c r="D60" s="270">
        <v>4766.18017578125</v>
      </c>
      <c r="E60" s="274">
        <v>1.733267700565189E-2</v>
      </c>
      <c r="F60" s="274">
        <v>4.3612913462064862E-2</v>
      </c>
      <c r="I60" s="291" t="s">
        <v>217</v>
      </c>
      <c r="J60" s="299">
        <v>0.89579018468426841</v>
      </c>
      <c r="K60" s="299">
        <v>0.10655648713505041</v>
      </c>
      <c r="L60" s="299">
        <v>8.4067165572841915</v>
      </c>
      <c r="M60" s="299">
        <v>1.279389714594448E-11</v>
      </c>
      <c r="N60" s="299">
        <v>0.68249420133694116</v>
      </c>
      <c r="O60" s="299">
        <v>1.109086168031596</v>
      </c>
      <c r="P60" s="299">
        <v>0.68249420133694116</v>
      </c>
      <c r="Q60" s="299">
        <v>1.109086168031596</v>
      </c>
    </row>
    <row r="61" spans="1:17" x14ac:dyDescent="0.35">
      <c r="A61" s="87"/>
      <c r="B61" s="269">
        <v>44562</v>
      </c>
      <c r="C61" s="273">
        <v>299.00204467773438</v>
      </c>
      <c r="D61" s="270">
        <v>4515.5498046875</v>
      </c>
      <c r="E61" s="274">
        <v>-7.5344906568084125E-2</v>
      </c>
      <c r="F61" s="274">
        <v>-5.2585165027393847E-2</v>
      </c>
    </row>
    <row r="62" spans="1:17" x14ac:dyDescent="0.35">
      <c r="A62" s="87"/>
      <c r="B62" s="269">
        <v>44593</v>
      </c>
      <c r="C62" s="273">
        <v>287.87554931640619</v>
      </c>
      <c r="D62" s="270">
        <v>4373.93994140625</v>
      </c>
      <c r="E62" s="274">
        <v>-3.7212104597212033E-2</v>
      </c>
      <c r="F62" s="274">
        <v>-3.1360491945908293E-2</v>
      </c>
      <c r="I62" s="95" t="s">
        <v>218</v>
      </c>
      <c r="J62" s="37">
        <v>2025</v>
      </c>
    </row>
    <row r="63" spans="1:17" ht="15" thickBot="1" x14ac:dyDescent="0.4">
      <c r="A63" s="87"/>
      <c r="B63" s="269">
        <v>44621</v>
      </c>
      <c r="C63" s="273">
        <v>297.04776000976563</v>
      </c>
      <c r="D63" s="270">
        <v>4530.41015625</v>
      </c>
      <c r="E63" s="274">
        <v>3.1861721897326278E-2</v>
      </c>
      <c r="F63" s="274">
        <v>3.5773288371546252E-2</v>
      </c>
    </row>
    <row r="64" spans="1:17" x14ac:dyDescent="0.35">
      <c r="A64" s="87"/>
      <c r="B64" s="269">
        <v>44652</v>
      </c>
      <c r="C64" s="273">
        <v>267.38250732421881</v>
      </c>
      <c r="D64" s="270">
        <v>4131.93017578125</v>
      </c>
      <c r="E64" s="274">
        <v>-9.9866946259994038E-2</v>
      </c>
      <c r="F64" s="274">
        <v>-8.7956711804343057E-2</v>
      </c>
      <c r="I64" s="267" t="s">
        <v>194</v>
      </c>
      <c r="J64" s="267"/>
    </row>
    <row r="65" spans="1:17" x14ac:dyDescent="0.35">
      <c r="A65" s="87"/>
      <c r="B65" s="269">
        <v>44682</v>
      </c>
      <c r="C65" s="273">
        <v>262.54901123046881</v>
      </c>
      <c r="D65" s="270">
        <v>4132.14990234375</v>
      </c>
      <c r="E65" s="274">
        <v>-1.8077084182208991E-2</v>
      </c>
      <c r="F65" s="274">
        <v>5.3177704644635782E-5</v>
      </c>
      <c r="I65" s="95" t="s">
        <v>195</v>
      </c>
      <c r="J65" s="298">
        <v>0.74595152201990467</v>
      </c>
    </row>
    <row r="66" spans="1:17" x14ac:dyDescent="0.35">
      <c r="A66" s="87"/>
      <c r="B66" s="269">
        <v>44713</v>
      </c>
      <c r="C66" s="273">
        <v>248.02464294433591</v>
      </c>
      <c r="D66" s="270">
        <v>3785.3798828125</v>
      </c>
      <c r="E66" s="274">
        <v>-5.5320597925936021E-2</v>
      </c>
      <c r="F66" s="274">
        <v>-8.3919999933826817E-2</v>
      </c>
      <c r="I66" s="95" t="s">
        <v>196</v>
      </c>
      <c r="J66" s="298">
        <v>0.55644367320381238</v>
      </c>
    </row>
    <row r="67" spans="1:17" x14ac:dyDescent="0.35">
      <c r="A67" s="87"/>
      <c r="B67" s="269">
        <v>44743</v>
      </c>
      <c r="C67" s="273">
        <v>271.11489868164063</v>
      </c>
      <c r="D67" s="270">
        <v>4130.2900390625</v>
      </c>
      <c r="E67" s="274">
        <v>9.3096619203628217E-2</v>
      </c>
      <c r="F67" s="274">
        <v>9.1116391730210022E-2</v>
      </c>
      <c r="I67" s="95" t="s">
        <v>197</v>
      </c>
      <c r="J67" s="298">
        <v>0.5487961503280161</v>
      </c>
    </row>
    <row r="68" spans="1:17" x14ac:dyDescent="0.35">
      <c r="A68" s="87"/>
      <c r="B68" s="269">
        <v>44774</v>
      </c>
      <c r="C68" s="273">
        <v>253.04150390625</v>
      </c>
      <c r="D68" s="270">
        <v>3955</v>
      </c>
      <c r="E68" s="274">
        <v>-6.6663229734982177E-2</v>
      </c>
      <c r="F68" s="274">
        <v>-4.2440128272998368E-2</v>
      </c>
      <c r="I68" s="95" t="s">
        <v>198</v>
      </c>
      <c r="J68" s="298">
        <v>4.3881694542575643E-2</v>
      </c>
    </row>
    <row r="69" spans="1:17" ht="15" thickBot="1" x14ac:dyDescent="0.4">
      <c r="A69" s="87"/>
      <c r="B69" s="269">
        <v>44805</v>
      </c>
      <c r="C69" s="273">
        <v>225.39250183105469</v>
      </c>
      <c r="D69" s="270">
        <v>3585.6201171875</v>
      </c>
      <c r="E69" s="274">
        <v>-0.10926666830686819</v>
      </c>
      <c r="F69" s="274">
        <v>-9.3395672013274367E-2</v>
      </c>
      <c r="I69" s="291" t="s">
        <v>199</v>
      </c>
      <c r="J69" s="299">
        <v>60</v>
      </c>
    </row>
    <row r="70" spans="1:17" x14ac:dyDescent="0.35">
      <c r="A70" s="87"/>
      <c r="B70" s="269">
        <v>44835</v>
      </c>
      <c r="C70" s="273">
        <v>224.6473083496094</v>
      </c>
      <c r="D70" s="270">
        <v>3871.97998046875</v>
      </c>
      <c r="E70" s="274">
        <v>-3.306203513388728E-3</v>
      </c>
      <c r="F70" s="274">
        <v>7.9863413837008901E-2</v>
      </c>
    </row>
    <row r="71" spans="1:17" ht="15" thickBot="1" x14ac:dyDescent="0.4">
      <c r="A71" s="87"/>
      <c r="B71" s="269">
        <v>44866</v>
      </c>
      <c r="C71" s="273">
        <v>247.6114196777344</v>
      </c>
      <c r="D71" s="270">
        <v>4080.110107421875</v>
      </c>
      <c r="E71" s="274">
        <v>0.1022229533789334</v>
      </c>
      <c r="F71" s="274">
        <v>5.3752893352493107E-2</v>
      </c>
      <c r="I71" t="s">
        <v>200</v>
      </c>
    </row>
    <row r="72" spans="1:17" x14ac:dyDescent="0.35">
      <c r="A72" s="87"/>
      <c r="B72" s="269">
        <v>44896</v>
      </c>
      <c r="C72" s="273">
        <v>232.7434997558594</v>
      </c>
      <c r="D72" s="270">
        <v>3839.5</v>
      </c>
      <c r="E72" s="274">
        <v>-6.0045372467980473E-2</v>
      </c>
      <c r="F72" s="274">
        <v>-5.8971474074730468E-2</v>
      </c>
      <c r="I72" s="268"/>
      <c r="J72" s="268" t="s">
        <v>201</v>
      </c>
      <c r="K72" s="268" t="s">
        <v>202</v>
      </c>
      <c r="L72" s="268" t="s">
        <v>203</v>
      </c>
      <c r="M72" s="268" t="s">
        <v>204</v>
      </c>
      <c r="N72" s="268" t="s">
        <v>205</v>
      </c>
    </row>
    <row r="73" spans="1:17" x14ac:dyDescent="0.35">
      <c r="A73" s="87"/>
      <c r="B73" s="269">
        <v>44927</v>
      </c>
      <c r="C73" s="273">
        <v>240.4977111816406</v>
      </c>
      <c r="D73" s="270">
        <v>4076.60009765625</v>
      </c>
      <c r="E73" s="274">
        <v>3.3316554206305193E-2</v>
      </c>
      <c r="F73" s="274">
        <v>6.1752857834679098E-2</v>
      </c>
      <c r="I73" s="95" t="s">
        <v>206</v>
      </c>
      <c r="J73" s="298">
        <v>1</v>
      </c>
      <c r="K73" s="298">
        <v>0.14010937768500101</v>
      </c>
      <c r="L73" s="298">
        <v>0.14010937768500101</v>
      </c>
      <c r="M73" s="298">
        <v>72.761295682410079</v>
      </c>
      <c r="N73" s="298">
        <v>7.9719068671307504E-12</v>
      </c>
    </row>
    <row r="74" spans="1:17" x14ac:dyDescent="0.35">
      <c r="A74" s="87"/>
      <c r="B74" s="269">
        <v>44958</v>
      </c>
      <c r="C74" s="273">
        <v>242.66650390625</v>
      </c>
      <c r="D74" s="270">
        <v>3970.14990234375</v>
      </c>
      <c r="E74" s="274">
        <v>9.0179349897070438E-3</v>
      </c>
      <c r="F74" s="274">
        <v>-2.6112493931818581E-2</v>
      </c>
      <c r="I74" s="95" t="s">
        <v>207</v>
      </c>
      <c r="J74" s="298">
        <v>58</v>
      </c>
      <c r="K74" s="298">
        <v>0.1116849807238189</v>
      </c>
      <c r="L74" s="298">
        <v>1.925603115927913E-3</v>
      </c>
      <c r="M74" s="298"/>
      <c r="N74" s="298"/>
    </row>
    <row r="75" spans="1:17" ht="15" thickBot="1" x14ac:dyDescent="0.4">
      <c r="A75" s="87"/>
      <c r="B75" s="269">
        <v>44986</v>
      </c>
      <c r="C75" s="273">
        <v>280.49371337890619</v>
      </c>
      <c r="D75" s="270">
        <v>4109.31005859375</v>
      </c>
      <c r="E75" s="274">
        <v>0.15588146226918129</v>
      </c>
      <c r="F75" s="274">
        <v>3.5051612577108981E-2</v>
      </c>
      <c r="I75" s="291" t="s">
        <v>208</v>
      </c>
      <c r="J75" s="299">
        <v>59</v>
      </c>
      <c r="K75" s="299">
        <v>0.25179435840881997</v>
      </c>
      <c r="L75" s="299"/>
      <c r="M75" s="299"/>
      <c r="N75" s="299"/>
    </row>
    <row r="76" spans="1:17" ht="15" thickBot="1" x14ac:dyDescent="0.4">
      <c r="A76" s="87"/>
      <c r="B76" s="269">
        <v>45017</v>
      </c>
      <c r="C76" s="273">
        <v>298.94036865234381</v>
      </c>
      <c r="D76" s="270">
        <v>4169.47998046875</v>
      </c>
      <c r="E76" s="274">
        <v>6.5764950847646109E-2</v>
      </c>
      <c r="F76" s="274">
        <v>1.4642341662481019E-2</v>
      </c>
    </row>
    <row r="77" spans="1:17" x14ac:dyDescent="0.35">
      <c r="A77" s="87"/>
      <c r="B77" s="269">
        <v>45047</v>
      </c>
      <c r="C77" s="273">
        <v>320.19668579101563</v>
      </c>
      <c r="D77" s="270">
        <v>4179.830078125</v>
      </c>
      <c r="E77" s="274">
        <v>7.1105542668919997E-2</v>
      </c>
      <c r="F77" s="274">
        <v>2.482347368192972E-3</v>
      </c>
      <c r="I77" s="268"/>
      <c r="J77" s="268" t="s">
        <v>209</v>
      </c>
      <c r="K77" s="268" t="s">
        <v>198</v>
      </c>
      <c r="L77" s="268" t="s">
        <v>210</v>
      </c>
      <c r="M77" s="268" t="s">
        <v>211</v>
      </c>
      <c r="N77" s="268" t="s">
        <v>212</v>
      </c>
      <c r="O77" s="268" t="s">
        <v>213</v>
      </c>
      <c r="P77" s="268" t="s">
        <v>214</v>
      </c>
      <c r="Q77" s="268" t="s">
        <v>215</v>
      </c>
    </row>
    <row r="78" spans="1:17" x14ac:dyDescent="0.35">
      <c r="A78" s="87"/>
      <c r="B78" s="269">
        <v>45078</v>
      </c>
      <c r="C78" s="273">
        <v>332.04351806640619</v>
      </c>
      <c r="D78" s="270">
        <v>4450.3798828125</v>
      </c>
      <c r="E78" s="274">
        <v>3.6998609920412262E-2</v>
      </c>
      <c r="F78" s="274">
        <v>6.4727464904234644E-2</v>
      </c>
      <c r="I78" s="95" t="s">
        <v>216</v>
      </c>
      <c r="J78" s="298">
        <v>4.581013400576206E-3</v>
      </c>
      <c r="K78" s="298">
        <v>5.8725662262956134E-3</v>
      </c>
      <c r="L78" s="298">
        <v>0.78007011314130181</v>
      </c>
      <c r="M78" s="298">
        <v>0.43852148169773231</v>
      </c>
      <c r="N78" s="298">
        <v>-7.1742050914005264E-3</v>
      </c>
      <c r="O78" s="298">
        <v>1.6336231892552941E-2</v>
      </c>
      <c r="P78" s="298">
        <v>-7.1742050914005264E-3</v>
      </c>
      <c r="Q78" s="298">
        <v>1.6336231892552941E-2</v>
      </c>
    </row>
    <row r="79" spans="1:17" ht="15" thickBot="1" x14ac:dyDescent="0.4">
      <c r="A79" s="87"/>
      <c r="B79" s="269">
        <v>45108</v>
      </c>
      <c r="C79" s="273">
        <v>327.53884887695313</v>
      </c>
      <c r="D79" s="270">
        <v>4588.9599609375</v>
      </c>
      <c r="E79" s="274">
        <v>-1.356650241415713E-2</v>
      </c>
      <c r="F79" s="274">
        <v>3.1138932355010859E-2</v>
      </c>
      <c r="I79" s="291" t="s">
        <v>217</v>
      </c>
      <c r="J79" s="299">
        <v>1.037961036806397</v>
      </c>
      <c r="K79" s="299">
        <v>0.12168326079018189</v>
      </c>
      <c r="L79" s="299">
        <v>8.53002319354467</v>
      </c>
      <c r="M79" s="299">
        <v>7.9719068671308959E-12</v>
      </c>
      <c r="N79" s="299">
        <v>0.794385526154885</v>
      </c>
      <c r="O79" s="299">
        <v>1.2815365474579079</v>
      </c>
      <c r="P79" s="299">
        <v>0.794385526154885</v>
      </c>
      <c r="Q79" s="299">
        <v>1.2815365474579079</v>
      </c>
    </row>
    <row r="80" spans="1:17" x14ac:dyDescent="0.35">
      <c r="A80" s="87"/>
      <c r="B80" s="269">
        <v>45139</v>
      </c>
      <c r="C80" s="273">
        <v>320.259033203125</v>
      </c>
      <c r="D80" s="270">
        <v>4507.66015625</v>
      </c>
      <c r="E80" s="274">
        <v>-2.222580832407739E-2</v>
      </c>
      <c r="F80" s="274">
        <v>-1.7716390070854019E-2</v>
      </c>
    </row>
    <row r="81" spans="1:14" x14ac:dyDescent="0.35">
      <c r="A81" s="87"/>
      <c r="B81" s="269">
        <v>45170</v>
      </c>
      <c r="C81" s="273">
        <v>308.52389526367188</v>
      </c>
      <c r="D81" s="270">
        <v>4288.0498046875</v>
      </c>
      <c r="E81" s="274">
        <v>-3.6642644618270943E-2</v>
      </c>
      <c r="F81" s="274">
        <v>-4.8719367465624892E-2</v>
      </c>
    </row>
    <row r="82" spans="1:14" x14ac:dyDescent="0.35">
      <c r="A82" s="87"/>
      <c r="B82" s="269">
        <v>45200</v>
      </c>
      <c r="C82" s="273">
        <v>330.37213134765619</v>
      </c>
      <c r="D82" s="270">
        <v>4193.7998046875</v>
      </c>
      <c r="E82" s="274">
        <v>7.0815377412865699E-2</v>
      </c>
      <c r="F82" s="274">
        <v>-2.197968873798295E-2</v>
      </c>
      <c r="I82" s="296" t="s">
        <v>1117</v>
      </c>
      <c r="J82" s="37">
        <v>2026</v>
      </c>
    </row>
    <row r="83" spans="1:14" ht="15" thickBot="1" x14ac:dyDescent="0.4">
      <c r="A83" s="87"/>
      <c r="B83" s="269">
        <v>45231</v>
      </c>
      <c r="C83" s="273">
        <v>370.98983764648438</v>
      </c>
      <c r="D83" s="270">
        <v>4567.7998046875</v>
      </c>
      <c r="E83" s="274">
        <v>0.12294531664381041</v>
      </c>
      <c r="F83" s="274">
        <v>8.9179268781970134E-2</v>
      </c>
    </row>
    <row r="84" spans="1:14" x14ac:dyDescent="0.35">
      <c r="A84" s="87"/>
      <c r="B84" s="269">
        <v>45261</v>
      </c>
      <c r="C84" s="273">
        <v>368.17990112304688</v>
      </c>
      <c r="D84" s="270">
        <v>4769.830078125</v>
      </c>
      <c r="E84" s="274">
        <v>-7.5741603631609422E-3</v>
      </c>
      <c r="F84" s="274">
        <v>4.4229231156360127E-2</v>
      </c>
      <c r="I84" s="267" t="s">
        <v>194</v>
      </c>
      <c r="J84" s="267"/>
    </row>
    <row r="85" spans="1:14" x14ac:dyDescent="0.35">
      <c r="A85" s="87"/>
      <c r="B85" s="269">
        <v>45292</v>
      </c>
      <c r="C85" s="273">
        <v>389.26959228515619</v>
      </c>
      <c r="D85" s="270">
        <v>4845.64990234375</v>
      </c>
      <c r="E85" s="274">
        <v>5.7280940914428591E-2</v>
      </c>
      <c r="F85" s="274">
        <v>1.5895707598991619E-2</v>
      </c>
      <c r="I85" s="95" t="s">
        <v>195</v>
      </c>
      <c r="J85" s="298">
        <v>0.70872669301578595</v>
      </c>
    </row>
    <row r="86" spans="1:14" x14ac:dyDescent="0.35">
      <c r="A86" s="87"/>
      <c r="B86" s="269">
        <v>45323</v>
      </c>
      <c r="C86" s="273">
        <v>405.742919921875</v>
      </c>
      <c r="D86" s="270">
        <v>5096.27001953125</v>
      </c>
      <c r="E86" s="274">
        <v>4.2318557532362577E-2</v>
      </c>
      <c r="F86" s="274">
        <v>5.1720640623723169E-2</v>
      </c>
      <c r="I86" s="95" t="s">
        <v>196</v>
      </c>
      <c r="J86" s="298">
        <v>0.50229352539309213</v>
      </c>
    </row>
    <row r="87" spans="1:14" x14ac:dyDescent="0.35">
      <c r="A87" s="87"/>
      <c r="B87" s="269">
        <v>45352</v>
      </c>
      <c r="C87" s="273">
        <v>412.68771362304688</v>
      </c>
      <c r="D87" s="270">
        <v>5254.35009765625</v>
      </c>
      <c r="E87" s="274">
        <v>1.7116241245833889E-2</v>
      </c>
      <c r="F87" s="274">
        <v>3.1018779915342961E-2</v>
      </c>
      <c r="I87" s="95" t="s">
        <v>197</v>
      </c>
      <c r="J87" s="298">
        <v>0.49371237927917988</v>
      </c>
    </row>
    <row r="88" spans="1:14" x14ac:dyDescent="0.35">
      <c r="A88" s="87"/>
      <c r="B88" s="269">
        <v>45383</v>
      </c>
      <c r="C88" s="273">
        <v>381.89700317382813</v>
      </c>
      <c r="D88" s="270">
        <v>5035.68994140625</v>
      </c>
      <c r="E88" s="274">
        <v>-7.4610194180249612E-2</v>
      </c>
      <c r="F88" s="274">
        <v>-4.161507173789869E-2</v>
      </c>
      <c r="I88" s="95" t="s">
        <v>198</v>
      </c>
      <c r="J88" s="298">
        <v>5.1986044567977729E-2</v>
      </c>
    </row>
    <row r="89" spans="1:14" ht="15" thickBot="1" x14ac:dyDescent="0.4">
      <c r="A89" s="87"/>
      <c r="B89" s="269">
        <v>45413</v>
      </c>
      <c r="C89" s="273">
        <v>407.93893432617188</v>
      </c>
      <c r="D89" s="270">
        <v>5277.509765625</v>
      </c>
      <c r="E89" s="274">
        <v>6.8190980646397614E-2</v>
      </c>
      <c r="F89" s="274">
        <v>4.80211901511991E-2</v>
      </c>
      <c r="I89" s="291" t="s">
        <v>199</v>
      </c>
      <c r="J89" s="299">
        <v>60</v>
      </c>
    </row>
    <row r="90" spans="1:14" x14ac:dyDescent="0.35">
      <c r="A90" s="87"/>
      <c r="B90" s="269">
        <v>45444</v>
      </c>
      <c r="C90" s="273">
        <v>439.20773315429688</v>
      </c>
      <c r="D90" s="270">
        <v>5460.47998046875</v>
      </c>
      <c r="E90" s="274">
        <v>7.6650685181041567E-2</v>
      </c>
      <c r="F90" s="274">
        <v>3.4669801283083279E-2</v>
      </c>
    </row>
    <row r="91" spans="1:14" ht="15" thickBot="1" x14ac:dyDescent="0.4">
      <c r="A91" s="87"/>
      <c r="B91" s="269">
        <v>45474</v>
      </c>
      <c r="C91" s="273">
        <v>411.1031494140625</v>
      </c>
      <c r="D91" s="270">
        <v>5522.2998046875</v>
      </c>
      <c r="E91" s="274">
        <v>-6.3989273454711726E-2</v>
      </c>
      <c r="F91" s="274">
        <v>1.132131688786875E-2</v>
      </c>
      <c r="I91" t="s">
        <v>200</v>
      </c>
    </row>
    <row r="92" spans="1:14" x14ac:dyDescent="0.35">
      <c r="A92" s="87"/>
      <c r="B92" s="269">
        <v>45505</v>
      </c>
      <c r="C92" s="273">
        <v>410.6529541015625</v>
      </c>
      <c r="D92" s="270">
        <v>5648.39990234375</v>
      </c>
      <c r="E92" s="274">
        <v>-1.095090886901851E-3</v>
      </c>
      <c r="F92" s="274">
        <v>2.283470693663037E-2</v>
      </c>
      <c r="I92" s="268"/>
      <c r="J92" s="268" t="s">
        <v>201</v>
      </c>
      <c r="K92" s="268" t="s">
        <v>202</v>
      </c>
      <c r="L92" s="268" t="s">
        <v>203</v>
      </c>
      <c r="M92" s="268" t="s">
        <v>204</v>
      </c>
      <c r="N92" s="268" t="s">
        <v>205</v>
      </c>
    </row>
    <row r="93" spans="1:14" x14ac:dyDescent="0.35">
      <c r="A93" s="87"/>
      <c r="B93" s="269">
        <v>45536</v>
      </c>
      <c r="C93" s="273">
        <v>423.60824584960938</v>
      </c>
      <c r="D93" s="270">
        <v>5762.47998046875</v>
      </c>
      <c r="E93" s="274">
        <v>3.1548030079050049E-2</v>
      </c>
      <c r="F93" s="274">
        <v>2.0196884090601271E-2</v>
      </c>
      <c r="I93" s="95" t="s">
        <v>206</v>
      </c>
      <c r="J93" s="298">
        <v>1</v>
      </c>
      <c r="K93" s="298">
        <v>0.15819247933307529</v>
      </c>
      <c r="L93" s="298">
        <v>0.15819247933307529</v>
      </c>
      <c r="M93" s="298">
        <v>58.534549898730603</v>
      </c>
      <c r="N93" s="298">
        <v>2.3615317357301329E-10</v>
      </c>
    </row>
    <row r="94" spans="1:14" x14ac:dyDescent="0.35">
      <c r="A94" s="87"/>
      <c r="B94" s="269">
        <v>45566</v>
      </c>
      <c r="C94" s="273">
        <v>400.03076171875</v>
      </c>
      <c r="D94" s="270">
        <v>5705.4501953125</v>
      </c>
      <c r="E94" s="274">
        <v>-5.5658699663816091E-2</v>
      </c>
      <c r="F94" s="274">
        <v>-9.8967433031517116E-3</v>
      </c>
      <c r="I94" s="95" t="s">
        <v>207</v>
      </c>
      <c r="J94" s="298">
        <v>58</v>
      </c>
      <c r="K94" s="298">
        <v>0.1567478321297785</v>
      </c>
      <c r="L94" s="298">
        <v>2.7025488298237669E-3</v>
      </c>
      <c r="M94" s="298"/>
      <c r="N94" s="298"/>
    </row>
    <row r="95" spans="1:14" ht="15" thickBot="1" x14ac:dyDescent="0.4">
      <c r="A95" s="87"/>
      <c r="B95" s="269">
        <v>45597</v>
      </c>
      <c r="C95" s="273">
        <v>417.70904541015619</v>
      </c>
      <c r="D95" s="270">
        <v>6032.3798828125</v>
      </c>
      <c r="E95" s="274">
        <v>4.4192310649937783E-2</v>
      </c>
      <c r="F95" s="274">
        <v>5.7301295482098842E-2</v>
      </c>
      <c r="I95" s="291" t="s">
        <v>208</v>
      </c>
      <c r="J95" s="299">
        <v>59</v>
      </c>
      <c r="K95" s="299">
        <v>0.31494031146285367</v>
      </c>
      <c r="L95" s="299"/>
      <c r="M95" s="299"/>
      <c r="N95" s="299"/>
    </row>
    <row r="96" spans="1:14" ht="15" thickBot="1" x14ac:dyDescent="0.4">
      <c r="A96" s="87"/>
      <c r="B96" s="269">
        <v>45627</v>
      </c>
      <c r="C96" s="273">
        <v>415.77572631835938</v>
      </c>
      <c r="D96" s="270">
        <v>5881.6298828125</v>
      </c>
      <c r="E96" s="274">
        <v>-4.6283869431137381E-3</v>
      </c>
      <c r="F96" s="274">
        <v>-2.4990137048483629E-2</v>
      </c>
    </row>
    <row r="97" spans="1:17" x14ac:dyDescent="0.35">
      <c r="A97" s="87"/>
      <c r="B97" s="269">
        <v>45658</v>
      </c>
      <c r="C97" s="273">
        <v>409.42318725585938</v>
      </c>
      <c r="D97" s="270">
        <v>6040.52978515625</v>
      </c>
      <c r="E97" s="274">
        <v>-1.527876367086389E-2</v>
      </c>
      <c r="F97" s="274">
        <v>2.70163042404441E-2</v>
      </c>
      <c r="I97" s="268"/>
      <c r="J97" s="268" t="s">
        <v>209</v>
      </c>
      <c r="K97" s="268" t="s">
        <v>198</v>
      </c>
      <c r="L97" s="268" t="s">
        <v>210</v>
      </c>
      <c r="M97" s="268" t="s">
        <v>211</v>
      </c>
      <c r="N97" s="268" t="s">
        <v>212</v>
      </c>
      <c r="O97" s="268" t="s">
        <v>213</v>
      </c>
      <c r="P97" s="268" t="s">
        <v>214</v>
      </c>
      <c r="Q97" s="268" t="s">
        <v>215</v>
      </c>
    </row>
    <row r="98" spans="1:17" x14ac:dyDescent="0.35">
      <c r="A98" s="87"/>
      <c r="B98" s="269">
        <v>45689</v>
      </c>
      <c r="C98" s="273">
        <v>392.38375854492188</v>
      </c>
      <c r="D98" s="270">
        <v>5954.5</v>
      </c>
      <c r="E98" s="274">
        <v>-4.1618133123195837E-2</v>
      </c>
      <c r="F98" s="274">
        <v>-1.424209269982513E-2</v>
      </c>
      <c r="I98" s="95" t="s">
        <v>216</v>
      </c>
      <c r="J98" s="300">
        <v>-3.0877660181631902E-3</v>
      </c>
      <c r="K98" s="300">
        <v>6.8840593803621807E-3</v>
      </c>
      <c r="L98" s="300">
        <v>-0.44853855081080629</v>
      </c>
      <c r="M98" s="300">
        <v>0.65543584985727676</v>
      </c>
      <c r="N98" s="300">
        <v>-1.6867708041728179E-2</v>
      </c>
      <c r="O98" s="300">
        <v>1.06921760054018E-2</v>
      </c>
      <c r="P98" s="300">
        <v>-1.6867708041728179E-2</v>
      </c>
      <c r="Q98" s="300">
        <v>1.06921760054018E-2</v>
      </c>
    </row>
    <row r="99" spans="1:17" ht="15" thickBot="1" x14ac:dyDescent="0.4">
      <c r="A99" s="87"/>
      <c r="B99" s="269">
        <v>45717</v>
      </c>
      <c r="C99" s="273">
        <v>371.03436279296881</v>
      </c>
      <c r="D99" s="270">
        <v>5611.85009765625</v>
      </c>
      <c r="E99" s="274">
        <v>-5.4409478697903253E-2</v>
      </c>
      <c r="F99" s="274">
        <v>-5.7544697681375379E-2</v>
      </c>
      <c r="I99" s="291" t="s">
        <v>217</v>
      </c>
      <c r="J99" s="301">
        <v>1.132558866996235</v>
      </c>
      <c r="K99" s="301">
        <v>0.1480316714956024</v>
      </c>
      <c r="L99" s="301">
        <v>7.6507875345437828</v>
      </c>
      <c r="M99" s="301">
        <v>2.361531735730167E-10</v>
      </c>
      <c r="N99" s="301">
        <v>0.83624128195624392</v>
      </c>
      <c r="O99" s="301">
        <v>1.428876452036226</v>
      </c>
      <c r="P99" s="301">
        <v>0.83624128195624392</v>
      </c>
      <c r="Q99" s="301">
        <v>1.428876452036226</v>
      </c>
    </row>
    <row r="100" spans="1:17" x14ac:dyDescent="0.35">
      <c r="A100" s="87"/>
      <c r="B100" s="269">
        <v>45748</v>
      </c>
      <c r="C100" s="273">
        <v>390.673828125</v>
      </c>
      <c r="D100" s="270">
        <v>5569.06005859375</v>
      </c>
      <c r="E100" s="274">
        <v>5.2931661596502311E-2</v>
      </c>
      <c r="F100" s="274">
        <v>-7.6249433462898253E-3</v>
      </c>
    </row>
    <row r="101" spans="1:17" x14ac:dyDescent="0.35">
      <c r="A101" s="87"/>
      <c r="B101" s="269">
        <v>45778</v>
      </c>
      <c r="C101" s="273">
        <v>455.85379028320313</v>
      </c>
      <c r="D101" s="270">
        <v>5911.68994140625</v>
      </c>
      <c r="E101" s="274">
        <v>0.16683984814398189</v>
      </c>
      <c r="F101" s="274">
        <v>6.1523826140782889E-2</v>
      </c>
    </row>
    <row r="102" spans="1:17" x14ac:dyDescent="0.35">
      <c r="A102" s="87"/>
      <c r="B102" s="269">
        <v>45809</v>
      </c>
      <c r="C102" s="273">
        <v>492.5411376953125</v>
      </c>
      <c r="D102" s="270">
        <v>6204.9501953125</v>
      </c>
      <c r="E102" s="274">
        <v>8.0480514134404935E-2</v>
      </c>
      <c r="F102" s="274">
        <v>4.9606839467715817E-2</v>
      </c>
    </row>
    <row r="103" spans="1:17" x14ac:dyDescent="0.35">
      <c r="A103" s="87"/>
      <c r="B103" s="269">
        <v>45839</v>
      </c>
      <c r="C103" s="273">
        <v>528.27789306640625</v>
      </c>
      <c r="D103" s="270">
        <v>6339.39013671875</v>
      </c>
      <c r="E103" s="274">
        <v>7.2555879369411436E-2</v>
      </c>
      <c r="F103" s="274">
        <v>2.1666562530640698E-2</v>
      </c>
    </row>
    <row r="104" spans="1:17" x14ac:dyDescent="0.35">
      <c r="A104" s="87"/>
      <c r="B104" s="269">
        <v>45870</v>
      </c>
      <c r="C104" s="273">
        <v>502.55514526367188</v>
      </c>
      <c r="D104" s="270">
        <v>6460.259765625</v>
      </c>
      <c r="E104" s="274">
        <v>-4.8691698328366277E-2</v>
      </c>
      <c r="F104" s="274">
        <v>1.9066444295036119E-2</v>
      </c>
    </row>
    <row r="105" spans="1:17" x14ac:dyDescent="0.35">
      <c r="A105" s="87"/>
      <c r="B105" s="269">
        <v>45901</v>
      </c>
      <c r="C105" s="273">
        <v>513.7232666015625</v>
      </c>
      <c r="D105" s="270">
        <v>6688.4599609375</v>
      </c>
      <c r="E105" s="274">
        <v>2.2222678333202909E-2</v>
      </c>
      <c r="F105" s="274">
        <v>3.5323687218701487E-2</v>
      </c>
    </row>
    <row r="106" spans="1:17" x14ac:dyDescent="0.35">
      <c r="A106" s="87"/>
      <c r="B106" s="269">
        <v>45931</v>
      </c>
      <c r="C106" s="273">
        <v>513.58441162109375</v>
      </c>
      <c r="D106" s="270">
        <v>6840.2001953125</v>
      </c>
      <c r="E106" s="274">
        <v>-2.70291399078193E-4</v>
      </c>
      <c r="F106" s="274">
        <v>2.26868719049238E-2</v>
      </c>
    </row>
    <row r="107" spans="1:17" x14ac:dyDescent="0.35">
      <c r="A107" s="87"/>
      <c r="B107" s="269">
        <v>45962</v>
      </c>
      <c r="C107" s="273">
        <v>488.90829467773438</v>
      </c>
      <c r="D107" s="270">
        <v>6849.08984375</v>
      </c>
      <c r="E107" s="274">
        <v>-4.804685731303826E-2</v>
      </c>
      <c r="F107" s="274">
        <v>1.2996181666717901E-3</v>
      </c>
    </row>
    <row r="108" spans="1:17" x14ac:dyDescent="0.35">
      <c r="A108" s="87"/>
      <c r="B108" s="269">
        <v>45992</v>
      </c>
      <c r="C108" s="273">
        <v>480.5711669921875</v>
      </c>
      <c r="D108" s="270">
        <v>6845.5</v>
      </c>
      <c r="E108" s="274">
        <v>-1.70525388427748E-2</v>
      </c>
      <c r="F108" s="274">
        <v>-5.2413442251397768E-4</v>
      </c>
    </row>
    <row r="109" spans="1:17" x14ac:dyDescent="0.35">
      <c r="A109" s="87"/>
      <c r="B109" s="269">
        <v>46023</v>
      </c>
      <c r="C109" s="273">
        <v>427.577392578125</v>
      </c>
      <c r="D109" s="270">
        <v>6939.02978515625</v>
      </c>
      <c r="E109" s="274">
        <v>-0.1102724800277584</v>
      </c>
      <c r="F109" s="274">
        <v>1.3662958900920291E-2</v>
      </c>
    </row>
    <row r="110" spans="1:17" x14ac:dyDescent="0.35">
      <c r="A110" s="87"/>
      <c r="B110" s="269">
        <v>46054</v>
      </c>
      <c r="C110" s="273">
        <v>391.15484619140619</v>
      </c>
      <c r="D110" s="270">
        <v>6878.8798828125</v>
      </c>
      <c r="E110" s="274">
        <v>-8.518351769513588E-2</v>
      </c>
      <c r="F110" s="274">
        <v>-8.6683447407043257E-3</v>
      </c>
    </row>
    <row r="111" spans="1:17" x14ac:dyDescent="0.35">
      <c r="A111" s="87"/>
      <c r="B111" s="269">
        <v>46082</v>
      </c>
      <c r="C111" s="273">
        <v>368.67596435546881</v>
      </c>
      <c r="D111" s="270">
        <v>6528.52001953125</v>
      </c>
      <c r="E111" s="274">
        <v>-5.7467987562495271E-2</v>
      </c>
      <c r="F111" s="274">
        <v>-5.0932690968576999E-2</v>
      </c>
    </row>
    <row r="112" spans="1:17" x14ac:dyDescent="0.35">
      <c r="A112" s="87"/>
      <c r="B112" s="269">
        <v>46113</v>
      </c>
      <c r="C112" s="273">
        <v>406.1341552734375</v>
      </c>
      <c r="D112" s="270">
        <v>7209.009765625</v>
      </c>
      <c r="E112" s="274">
        <v>0.1016019337833818</v>
      </c>
      <c r="F112" s="274">
        <v>0.1042333858298576</v>
      </c>
    </row>
    <row r="113" spans="1:6" x14ac:dyDescent="0.35">
      <c r="A113" s="87"/>
      <c r="B113" s="269">
        <v>46143</v>
      </c>
      <c r="C113" s="273">
        <v>449.39401245117188</v>
      </c>
      <c r="D113" s="270">
        <v>7580.06005859375</v>
      </c>
      <c r="E113" s="274">
        <v>0.1065161760369768</v>
      </c>
      <c r="F113" s="274">
        <v>5.1470355157242631E-2</v>
      </c>
    </row>
    <row r="114" spans="1:6" x14ac:dyDescent="0.35">
      <c r="A114" s="87"/>
      <c r="B114" s="269">
        <v>46174</v>
      </c>
      <c r="C114" s="273">
        <v>372.319091796875</v>
      </c>
      <c r="D114" s="270">
        <v>7499.35986328125</v>
      </c>
      <c r="E114" s="274">
        <v>-0.17150856157139241</v>
      </c>
      <c r="F114" s="274">
        <v>-1.0646379407113989E-2</v>
      </c>
    </row>
    <row r="115" spans="1:6" x14ac:dyDescent="0.35">
      <c r="A115" s="87"/>
      <c r="B115" s="269">
        <v>46204</v>
      </c>
      <c r="C115" s="273">
        <v>463.8468017578125</v>
      </c>
      <c r="D115" s="270">
        <v>7489.72021484375</v>
      </c>
      <c r="E115" s="274">
        <v>0.24583136341252129</v>
      </c>
      <c r="F115" s="274">
        <v>-1.285396168904773E-3</v>
      </c>
    </row>
    <row r="116" spans="1:6" x14ac:dyDescent="0.35">
      <c r="A116" s="87"/>
      <c r="B116" s="269">
        <v>46235</v>
      </c>
      <c r="C116" s="273">
        <v>507.29000854492188</v>
      </c>
      <c r="D116" s="270">
        <v>7686.14013671875</v>
      </c>
      <c r="E116" s="274">
        <v>9.36585239403942E-2</v>
      </c>
      <c r="F116" s="274">
        <v>2.6225268266459208E-2</v>
      </c>
    </row>
    <row r="117" spans="1:6" x14ac:dyDescent="0.35">
      <c r="A117" s="87"/>
      <c r="B117" s="269">
        <v>46266</v>
      </c>
      <c r="C117" s="273">
        <v>512.9000244140625</v>
      </c>
      <c r="D117" s="270">
        <v>7651.5400390625</v>
      </c>
      <c r="E117" s="274">
        <v>1.1058794327986071E-2</v>
      </c>
      <c r="F117" s="274">
        <v>-4.5016220158354816E-3</v>
      </c>
    </row>
    <row r="118" spans="1:6" x14ac:dyDescent="0.35">
      <c r="A118" s="87"/>
      <c r="B118" s="269">
        <v>46296</v>
      </c>
      <c r="C118" s="273">
        <v>543.45001220703125</v>
      </c>
      <c r="D118" s="270">
        <v>7805.4501953125</v>
      </c>
      <c r="E118" s="274">
        <v>5.9563241058272709E-2</v>
      </c>
      <c r="F118" s="274">
        <v>2.0114925291413229E-2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DC128-6851-45C3-A3BC-D139E4B52125}">
  <dimension ref="A1:H50"/>
  <sheetViews>
    <sheetView showGridLines="0" topLeftCell="A39" workbookViewId="0">
      <selection activeCell="A37" sqref="A37"/>
    </sheetView>
  </sheetViews>
  <sheetFormatPr defaultRowHeight="14.5" x14ac:dyDescent="0.35"/>
  <cols>
    <col min="1" max="1" width="26.36328125" customWidth="1"/>
    <col min="2" max="2" width="40" customWidth="1"/>
    <col min="3" max="3" width="25.453125" customWidth="1"/>
    <col min="4" max="4" width="37.26953125" customWidth="1"/>
    <col min="5" max="5" width="18.1796875" customWidth="1"/>
    <col min="6" max="6" width="46.36328125" customWidth="1"/>
    <col min="7" max="8" width="18.1796875" customWidth="1"/>
  </cols>
  <sheetData>
    <row r="1" spans="1:8" ht="20" x14ac:dyDescent="0.4">
      <c r="A1" s="114" t="s">
        <v>1015</v>
      </c>
      <c r="B1" s="114"/>
      <c r="C1" s="114"/>
      <c r="D1" s="114"/>
      <c r="E1" s="114"/>
      <c r="F1" s="114"/>
      <c r="G1" s="303" t="str">
        <f>HYPERLINK("#'Cover'!A1","Back to Cover")</f>
        <v>Back to Cover</v>
      </c>
      <c r="H1" s="114"/>
    </row>
    <row r="2" spans="1:8" x14ac:dyDescent="0.35">
      <c r="A2" s="106" t="s">
        <v>1016</v>
      </c>
      <c r="B2" s="106"/>
      <c r="C2" s="106"/>
      <c r="D2" s="106"/>
      <c r="E2" s="106"/>
      <c r="F2" s="106"/>
      <c r="G2" s="106"/>
      <c r="H2" s="106"/>
    </row>
    <row r="3" spans="1:8" x14ac:dyDescent="0.35">
      <c r="A3" s="5"/>
      <c r="B3" s="5"/>
      <c r="C3" s="5"/>
      <c r="D3" s="5"/>
      <c r="E3" s="5"/>
      <c r="F3" s="5"/>
      <c r="G3" s="5"/>
      <c r="H3" s="5"/>
    </row>
    <row r="4" spans="1:8" x14ac:dyDescent="0.35">
      <c r="A4" s="107" t="s">
        <v>1017</v>
      </c>
      <c r="B4" s="107" t="s">
        <v>1018</v>
      </c>
      <c r="C4" s="107" t="s">
        <v>1019</v>
      </c>
      <c r="D4" s="107" t="s">
        <v>1020</v>
      </c>
      <c r="E4" s="107" t="s">
        <v>491</v>
      </c>
      <c r="F4" s="107" t="s">
        <v>1021</v>
      </c>
      <c r="G4" s="5"/>
      <c r="H4" s="5"/>
    </row>
    <row r="5" spans="1:8" ht="26" x14ac:dyDescent="0.35">
      <c r="A5" s="112" t="s">
        <v>1022</v>
      </c>
      <c r="B5" s="109" t="s">
        <v>995</v>
      </c>
      <c r="C5" s="109" t="s">
        <v>520</v>
      </c>
      <c r="D5" s="109" t="s">
        <v>1001</v>
      </c>
      <c r="E5" s="109" t="s">
        <v>1023</v>
      </c>
      <c r="F5" s="109" t="s">
        <v>1024</v>
      </c>
      <c r="G5" s="5"/>
      <c r="H5" s="5"/>
    </row>
    <row r="6" spans="1:8" ht="26" x14ac:dyDescent="0.35">
      <c r="A6" s="112" t="s">
        <v>1025</v>
      </c>
      <c r="B6" s="109" t="s">
        <v>996</v>
      </c>
      <c r="C6" s="109" t="s">
        <v>1026</v>
      </c>
      <c r="D6" s="109" t="s">
        <v>1027</v>
      </c>
      <c r="E6" s="109" t="s">
        <v>1023</v>
      </c>
      <c r="F6" s="109" t="s">
        <v>1028</v>
      </c>
      <c r="G6" s="5"/>
      <c r="H6" s="5"/>
    </row>
    <row r="7" spans="1:8" x14ac:dyDescent="0.35">
      <c r="A7" s="112" t="s">
        <v>172</v>
      </c>
      <c r="B7" s="109" t="s">
        <v>997</v>
      </c>
      <c r="C7" s="271">
        <v>46318</v>
      </c>
      <c r="D7" s="109" t="s">
        <v>1029</v>
      </c>
      <c r="E7" s="109" t="s">
        <v>1023</v>
      </c>
      <c r="F7" s="109" t="s">
        <v>1030</v>
      </c>
      <c r="G7" s="5"/>
      <c r="H7" s="5"/>
    </row>
    <row r="8" spans="1:8" x14ac:dyDescent="0.35">
      <c r="A8" s="112" t="s">
        <v>1031</v>
      </c>
      <c r="B8" s="109" t="s">
        <v>1032</v>
      </c>
      <c r="C8" s="271">
        <v>46296</v>
      </c>
      <c r="D8" s="109" t="s">
        <v>1029</v>
      </c>
      <c r="E8" s="109" t="s">
        <v>1023</v>
      </c>
      <c r="F8" s="109" t="s">
        <v>1030</v>
      </c>
      <c r="G8" s="5"/>
      <c r="H8" s="5"/>
    </row>
    <row r="9" spans="1:8" ht="26" x14ac:dyDescent="0.35">
      <c r="A9" s="112" t="s">
        <v>1033</v>
      </c>
      <c r="B9" s="109" t="s">
        <v>1034</v>
      </c>
      <c r="C9" s="271">
        <v>46322</v>
      </c>
      <c r="D9" s="109" t="s">
        <v>1035</v>
      </c>
      <c r="E9" s="109" t="s">
        <v>1023</v>
      </c>
      <c r="F9" s="109" t="s">
        <v>1036</v>
      </c>
      <c r="G9" s="5"/>
      <c r="H9" s="5"/>
    </row>
    <row r="10" spans="1:8" ht="26" x14ac:dyDescent="0.35">
      <c r="A10" s="112" t="s">
        <v>1037</v>
      </c>
      <c r="B10" s="109" t="s">
        <v>1038</v>
      </c>
      <c r="C10" s="109" t="s">
        <v>1039</v>
      </c>
      <c r="D10" s="109" t="s">
        <v>1040</v>
      </c>
      <c r="E10" s="109" t="s">
        <v>1041</v>
      </c>
      <c r="F10" s="109" t="s">
        <v>1042</v>
      </c>
      <c r="G10" s="5"/>
      <c r="H10" s="5"/>
    </row>
    <row r="11" spans="1:8" ht="26" x14ac:dyDescent="0.35">
      <c r="A11" s="112" t="s">
        <v>1043</v>
      </c>
      <c r="B11" s="109" t="s">
        <v>1044</v>
      </c>
      <c r="C11" s="109" t="s">
        <v>1045</v>
      </c>
      <c r="D11" s="109" t="s">
        <v>961</v>
      </c>
      <c r="E11" s="109" t="s">
        <v>1046</v>
      </c>
      <c r="F11" s="109" t="s">
        <v>1047</v>
      </c>
      <c r="G11" s="5"/>
      <c r="H11" s="5"/>
    </row>
    <row r="12" spans="1:8" ht="26" x14ac:dyDescent="0.35">
      <c r="A12" s="112" t="s">
        <v>1048</v>
      </c>
      <c r="B12" s="109" t="s">
        <v>1049</v>
      </c>
      <c r="C12" s="109" t="s">
        <v>1050</v>
      </c>
      <c r="D12" s="109" t="s">
        <v>1051</v>
      </c>
      <c r="E12" s="109" t="s">
        <v>1023</v>
      </c>
      <c r="F12" s="109" t="s">
        <v>1126</v>
      </c>
      <c r="G12" s="5"/>
      <c r="H12" s="5"/>
    </row>
    <row r="13" spans="1:8" x14ac:dyDescent="0.35">
      <c r="A13" s="5"/>
      <c r="B13" s="5"/>
      <c r="C13" s="5"/>
      <c r="D13" s="5"/>
      <c r="E13" s="5"/>
      <c r="F13" s="5"/>
      <c r="G13" s="5"/>
      <c r="H13" s="5"/>
    </row>
    <row r="14" spans="1:8" x14ac:dyDescent="0.35">
      <c r="A14" s="107" t="s">
        <v>1052</v>
      </c>
      <c r="B14" s="107" t="s">
        <v>1053</v>
      </c>
      <c r="C14" s="107" t="s">
        <v>1054</v>
      </c>
      <c r="D14" s="107" t="s">
        <v>1055</v>
      </c>
      <c r="E14" s="107" t="s">
        <v>1056</v>
      </c>
      <c r="F14" s="107" t="s">
        <v>1057</v>
      </c>
      <c r="G14" s="5"/>
      <c r="H14" s="5"/>
    </row>
    <row r="15" spans="1:8" ht="26" x14ac:dyDescent="0.35">
      <c r="A15" s="112" t="s">
        <v>1058</v>
      </c>
      <c r="B15" s="109" t="s">
        <v>1059</v>
      </c>
      <c r="C15" s="109" t="s">
        <v>1060</v>
      </c>
      <c r="D15" s="109" t="s">
        <v>1061</v>
      </c>
      <c r="E15" s="109" t="s">
        <v>1061</v>
      </c>
      <c r="F15" s="109" t="s">
        <v>1062</v>
      </c>
      <c r="G15" s="5"/>
      <c r="H15" s="5"/>
    </row>
    <row r="16" spans="1:8" ht="26" x14ac:dyDescent="0.35">
      <c r="A16" s="112" t="s">
        <v>125</v>
      </c>
      <c r="B16" s="109" t="s">
        <v>913</v>
      </c>
      <c r="C16" s="109" t="s">
        <v>1063</v>
      </c>
      <c r="D16" s="109" t="s">
        <v>1061</v>
      </c>
      <c r="E16" s="109" t="s">
        <v>1061</v>
      </c>
      <c r="F16" s="109" t="s">
        <v>1064</v>
      </c>
      <c r="G16" s="5"/>
      <c r="H16" s="5"/>
    </row>
    <row r="17" spans="1:8" ht="26" x14ac:dyDescent="0.35">
      <c r="A17" s="112" t="s">
        <v>557</v>
      </c>
      <c r="B17" s="109" t="s">
        <v>1065</v>
      </c>
      <c r="C17" s="109" t="s">
        <v>1066</v>
      </c>
      <c r="D17" s="109" t="s">
        <v>1061</v>
      </c>
      <c r="E17" s="109" t="s">
        <v>1061</v>
      </c>
      <c r="F17" s="109" t="s">
        <v>1067</v>
      </c>
      <c r="G17" s="5"/>
      <c r="H17" s="5"/>
    </row>
    <row r="18" spans="1:8" ht="26" x14ac:dyDescent="0.35">
      <c r="A18" s="112" t="s">
        <v>1008</v>
      </c>
      <c r="B18" s="109" t="s">
        <v>1068</v>
      </c>
      <c r="C18" s="109" t="s">
        <v>1069</v>
      </c>
      <c r="D18" s="109" t="s">
        <v>1061</v>
      </c>
      <c r="E18" s="109" t="s">
        <v>1061</v>
      </c>
      <c r="F18" s="109" t="s">
        <v>1070</v>
      </c>
      <c r="G18" s="5"/>
      <c r="H18" s="5"/>
    </row>
    <row r="19" spans="1:8" x14ac:dyDescent="0.35">
      <c r="A19" s="112" t="s">
        <v>906</v>
      </c>
      <c r="B19" s="109" t="s">
        <v>1071</v>
      </c>
      <c r="C19" s="109" t="s">
        <v>1072</v>
      </c>
      <c r="D19" s="109" t="s">
        <v>1061</v>
      </c>
      <c r="E19" s="109" t="s">
        <v>1061</v>
      </c>
      <c r="F19" s="109" t="s">
        <v>1073</v>
      </c>
      <c r="G19" s="5"/>
      <c r="H19" s="5"/>
    </row>
    <row r="20" spans="1:8" ht="38.5" x14ac:dyDescent="0.35">
      <c r="A20" s="112" t="s">
        <v>548</v>
      </c>
      <c r="B20" s="109" t="s">
        <v>1074</v>
      </c>
      <c r="C20" s="109" t="s">
        <v>1075</v>
      </c>
      <c r="D20" s="109" t="s">
        <v>1076</v>
      </c>
      <c r="E20" s="109" t="s">
        <v>1077</v>
      </c>
      <c r="F20" s="109" t="s">
        <v>1127</v>
      </c>
      <c r="G20" s="5"/>
      <c r="H20" s="5"/>
    </row>
    <row r="21" spans="1:8" ht="38.5" x14ac:dyDescent="0.35">
      <c r="A21" s="112" t="s">
        <v>871</v>
      </c>
      <c r="B21" s="109" t="s">
        <v>1078</v>
      </c>
      <c r="C21" s="109" t="s">
        <v>1079</v>
      </c>
      <c r="D21" s="109" t="s">
        <v>1076</v>
      </c>
      <c r="E21" s="109" t="s">
        <v>1077</v>
      </c>
      <c r="F21" s="109" t="s">
        <v>1080</v>
      </c>
      <c r="G21" s="5"/>
      <c r="H21" s="5"/>
    </row>
    <row r="22" spans="1:8" ht="26" x14ac:dyDescent="0.35">
      <c r="A22" s="112" t="s">
        <v>1081</v>
      </c>
      <c r="B22" s="109" t="s">
        <v>1082</v>
      </c>
      <c r="C22" s="109" t="s">
        <v>1083</v>
      </c>
      <c r="D22" s="109" t="s">
        <v>1084</v>
      </c>
      <c r="E22" s="109" t="s">
        <v>1085</v>
      </c>
      <c r="F22" s="109" t="s">
        <v>1086</v>
      </c>
      <c r="G22" s="5"/>
      <c r="H22" s="5"/>
    </row>
    <row r="23" spans="1:8" x14ac:dyDescent="0.35">
      <c r="A23" s="112" t="s">
        <v>892</v>
      </c>
      <c r="B23" s="109" t="s">
        <v>1087</v>
      </c>
      <c r="C23" s="109" t="s">
        <v>1088</v>
      </c>
      <c r="D23" s="109" t="s">
        <v>523</v>
      </c>
      <c r="E23" s="109" t="s">
        <v>319</v>
      </c>
      <c r="F23" s="109" t="s">
        <v>1128</v>
      </c>
      <c r="G23" s="5"/>
      <c r="H23" s="5"/>
    </row>
    <row r="24" spans="1:8" ht="26" x14ac:dyDescent="0.35">
      <c r="A24" s="112" t="s">
        <v>1089</v>
      </c>
      <c r="B24" s="109" t="s">
        <v>1090</v>
      </c>
      <c r="C24" s="109" t="s">
        <v>1091</v>
      </c>
      <c r="D24" s="109" t="s">
        <v>1092</v>
      </c>
      <c r="E24" s="109" t="s">
        <v>523</v>
      </c>
      <c r="F24" s="109" t="s">
        <v>1093</v>
      </c>
      <c r="G24" s="5"/>
      <c r="H24" s="5"/>
    </row>
    <row r="25" spans="1:8" x14ac:dyDescent="0.35">
      <c r="A25" s="5"/>
      <c r="B25" s="5"/>
      <c r="C25" s="5"/>
      <c r="D25" s="5"/>
      <c r="E25" s="5"/>
      <c r="F25" s="5"/>
      <c r="G25" s="5"/>
      <c r="H25" s="5"/>
    </row>
    <row r="26" spans="1:8" x14ac:dyDescent="0.35">
      <c r="A26" s="5"/>
      <c r="B26" s="5"/>
      <c r="C26" s="5"/>
      <c r="D26" s="5"/>
      <c r="E26" s="5"/>
      <c r="F26" s="5"/>
      <c r="G26" s="5"/>
      <c r="H26" s="5"/>
    </row>
    <row r="27" spans="1:8" x14ac:dyDescent="0.35">
      <c r="A27" s="107" t="s">
        <v>1094</v>
      </c>
      <c r="B27" s="107"/>
      <c r="C27" s="107"/>
      <c r="D27" s="107"/>
      <c r="E27" s="107"/>
      <c r="F27" s="107"/>
      <c r="G27" s="5"/>
      <c r="H27" s="5"/>
    </row>
    <row r="28" spans="1:8" x14ac:dyDescent="0.35">
      <c r="A28" s="5" t="s">
        <v>812</v>
      </c>
      <c r="B28" s="5" t="s">
        <v>811</v>
      </c>
      <c r="C28" s="5" t="s">
        <v>1095</v>
      </c>
      <c r="D28" s="5" t="s">
        <v>1096</v>
      </c>
      <c r="E28" s="5"/>
      <c r="F28" s="5"/>
      <c r="G28" s="5"/>
      <c r="H28" s="5"/>
    </row>
    <row r="29" spans="1:8" ht="26" x14ac:dyDescent="0.35">
      <c r="A29" s="112" t="s">
        <v>1097</v>
      </c>
      <c r="B29" s="109" t="s">
        <v>1023</v>
      </c>
      <c r="C29" s="109" t="s">
        <v>1098</v>
      </c>
      <c r="D29" s="109" t="s">
        <v>1129</v>
      </c>
      <c r="E29" s="5"/>
      <c r="F29" s="5"/>
      <c r="G29" s="5"/>
      <c r="H29" s="5"/>
    </row>
    <row r="30" spans="1:8" ht="38.5" x14ac:dyDescent="0.35">
      <c r="A30" s="112" t="s">
        <v>1099</v>
      </c>
      <c r="B30" s="109" t="s">
        <v>1046</v>
      </c>
      <c r="C30" s="109" t="s">
        <v>1100</v>
      </c>
      <c r="D30" s="109" t="s">
        <v>1101</v>
      </c>
      <c r="E30" s="5"/>
      <c r="F30" s="5"/>
      <c r="G30" s="5"/>
      <c r="H30" s="5"/>
    </row>
    <row r="31" spans="1:8" ht="26" x14ac:dyDescent="0.35">
      <c r="A31" s="112" t="s">
        <v>853</v>
      </c>
      <c r="B31" s="109" t="s">
        <v>1102</v>
      </c>
      <c r="C31" s="109" t="s">
        <v>1103</v>
      </c>
      <c r="D31" s="109" t="s">
        <v>1104</v>
      </c>
      <c r="E31" s="5"/>
      <c r="F31" s="5"/>
      <c r="G31" s="5"/>
      <c r="H31" s="5"/>
    </row>
    <row r="32" spans="1:8" ht="26" x14ac:dyDescent="0.35">
      <c r="A32" s="112" t="s">
        <v>1105</v>
      </c>
      <c r="B32" s="109" t="s">
        <v>833</v>
      </c>
      <c r="C32" s="109" t="s">
        <v>1106</v>
      </c>
      <c r="D32" s="109" t="s">
        <v>1107</v>
      </c>
      <c r="E32" s="5"/>
      <c r="F32" s="5"/>
      <c r="G32" s="5"/>
      <c r="H32" s="5"/>
    </row>
    <row r="33" spans="1:8" ht="26" x14ac:dyDescent="0.35">
      <c r="A33" s="112" t="s">
        <v>1108</v>
      </c>
      <c r="B33" s="109" t="s">
        <v>833</v>
      </c>
      <c r="C33" s="109" t="s">
        <v>1106</v>
      </c>
      <c r="D33" s="109" t="s">
        <v>1109</v>
      </c>
      <c r="E33" s="5"/>
      <c r="F33" s="5"/>
      <c r="G33" s="5"/>
      <c r="H33" s="5"/>
    </row>
    <row r="34" spans="1:8" x14ac:dyDescent="0.35">
      <c r="A34" s="5"/>
      <c r="B34" s="5"/>
      <c r="C34" s="5"/>
      <c r="D34" s="5"/>
      <c r="E34" s="5"/>
      <c r="F34" s="5"/>
      <c r="G34" s="5"/>
      <c r="H34" s="5"/>
    </row>
    <row r="35" spans="1:8" x14ac:dyDescent="0.35">
      <c r="A35" s="5"/>
      <c r="B35" s="5"/>
      <c r="C35" s="5"/>
      <c r="D35" s="5"/>
      <c r="E35" s="5"/>
      <c r="F35" s="5"/>
      <c r="G35" s="5"/>
      <c r="H35" s="5"/>
    </row>
    <row r="36" spans="1:8" x14ac:dyDescent="0.35">
      <c r="A36" s="107" t="s">
        <v>1013</v>
      </c>
      <c r="B36" s="107"/>
      <c r="C36" s="107"/>
      <c r="D36" s="107"/>
      <c r="E36" s="107"/>
      <c r="F36" s="107"/>
      <c r="G36" s="5"/>
      <c r="H36" s="5"/>
    </row>
    <row r="37" spans="1:8" ht="42" customHeight="1" x14ac:dyDescent="0.35">
      <c r="A37" s="112" t="s">
        <v>1014</v>
      </c>
      <c r="B37" s="112"/>
      <c r="C37" s="112"/>
      <c r="D37" s="112"/>
      <c r="E37" s="112"/>
      <c r="F37" s="112"/>
      <c r="G37" s="5"/>
      <c r="H37" s="5"/>
    </row>
    <row r="38" spans="1:8" ht="42" customHeight="1" x14ac:dyDescent="0.35">
      <c r="A38" s="112"/>
      <c r="B38" s="112"/>
      <c r="C38" s="112"/>
      <c r="D38" s="112"/>
      <c r="E38" s="112"/>
      <c r="F38" s="112"/>
      <c r="G38" s="5"/>
      <c r="H38" s="5"/>
    </row>
    <row r="39" spans="1:8" ht="42" customHeight="1" x14ac:dyDescent="0.35">
      <c r="A39" s="112"/>
      <c r="B39" s="112"/>
      <c r="C39" s="112"/>
      <c r="D39" s="112"/>
      <c r="E39" s="112"/>
      <c r="F39" s="112"/>
      <c r="G39" s="5"/>
      <c r="H39" s="5"/>
    </row>
    <row r="40" spans="1:8" x14ac:dyDescent="0.35">
      <c r="A40" s="5"/>
      <c r="B40" s="5"/>
      <c r="C40" s="5"/>
      <c r="D40" s="5"/>
      <c r="E40" s="5"/>
      <c r="F40" s="5"/>
      <c r="G40" s="5"/>
      <c r="H40" s="5"/>
    </row>
    <row r="42" spans="1:8" ht="44" customHeight="1" x14ac:dyDescent="0.35"/>
    <row r="43" spans="1:8" ht="44" customHeight="1" x14ac:dyDescent="0.35"/>
    <row r="44" spans="1:8" ht="44" customHeight="1" x14ac:dyDescent="0.35"/>
    <row r="45" spans="1:8" ht="44" customHeight="1" x14ac:dyDescent="0.35"/>
    <row r="46" spans="1:8" ht="44" customHeight="1" x14ac:dyDescent="0.35"/>
    <row r="47" spans="1:8" ht="44" customHeight="1" x14ac:dyDescent="0.35"/>
    <row r="48" spans="1:8" ht="44" customHeight="1" x14ac:dyDescent="0.35"/>
    <row r="49" spans="1:8" ht="44" customHeight="1" x14ac:dyDescent="0.35"/>
    <row r="50" spans="1:8" x14ac:dyDescent="0.35">
      <c r="A50" s="5"/>
      <c r="B50" s="5"/>
      <c r="C50" s="5"/>
      <c r="D50" s="5"/>
      <c r="E50" s="5"/>
      <c r="F50" s="5"/>
      <c r="G50" s="5"/>
      <c r="H50" s="5"/>
    </row>
  </sheetData>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vt:i4>
      </vt:variant>
    </vt:vector>
  </HeadingPairs>
  <TitlesOfParts>
    <vt:vector size="17" baseType="lpstr">
      <vt:lpstr>Cover</vt:lpstr>
      <vt:lpstr>Dashboard</vt:lpstr>
      <vt:lpstr>Fin Statement</vt:lpstr>
      <vt:lpstr>Common Size&amp;Ratio</vt:lpstr>
      <vt:lpstr>Trend Analysis</vt:lpstr>
      <vt:lpstr>Assumptions</vt:lpstr>
      <vt:lpstr>3 statement Model</vt:lpstr>
      <vt:lpstr>DCF</vt:lpstr>
      <vt:lpstr>Valuation Sensitivities</vt:lpstr>
      <vt:lpstr>Trading Comps</vt:lpstr>
      <vt:lpstr>WACC</vt:lpstr>
      <vt:lpstr>Beta</vt:lpstr>
      <vt:lpstr>Sources &amp; Definitions</vt:lpstr>
      <vt:lpstr>Cover!Print_Area</vt:lpstr>
      <vt:lpstr>Dashboard!Print_Area</vt:lpstr>
      <vt:lpstr>'Sources &amp; Definitions'!Print_Area</vt:lpstr>
      <vt:lpstr>'Trading Comps'!Print_Area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Eden Kabanga</dc:creator>
  <cp:lastModifiedBy>Eden Kabanga</cp:lastModifiedBy>
  <dcterms:created xsi:type="dcterms:W3CDTF">2026-10-27T23:02:27Z</dcterms:created>
  <dcterms:modified xsi:type="dcterms:W3CDTF">2026-10-29T19:38:16Z</dcterms:modified>
</cp:coreProperties>
</file>